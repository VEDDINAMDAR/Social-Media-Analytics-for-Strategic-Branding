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AA17B3D0-57FD-42B7-AA47-7ACCCF3897BE}" xr6:coauthVersionLast="47" xr6:coauthVersionMax="47" xr10:uidLastSave="{00000000-0000-0000-0000-000000000000}"/>
  <bookViews>
    <workbookView xWindow="-108" yWindow="-108" windowWidth="23256" windowHeight="13176" activeTab="1" xr2:uid="{EB88590A-DABA-4CC3-8A7E-DB9683BDA5B4}"/>
  </bookViews>
  <sheets>
    <sheet name="Trends" sheetId="5" r:id="rId1"/>
    <sheet name="Correlation" sheetId="8" r:id="rId2"/>
    <sheet name="Data Used" sheetId="2" r:id="rId3"/>
  </sheets>
  <definedNames>
    <definedName name="ExternalData_1" localSheetId="2" hidden="1">'Data Used'!$A$1:$H$201</definedName>
  </definedNames>
  <calcPr calcId="191029"/>
  <pivotCaches>
    <pivotCache cacheId="5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8" l="1"/>
  <c r="G84" i="2"/>
  <c r="G137" i="2"/>
  <c r="G71" i="2"/>
  <c r="G126" i="2"/>
  <c r="G56" i="2"/>
  <c r="G164" i="2"/>
  <c r="G85" i="2"/>
  <c r="G97" i="2"/>
  <c r="G43" i="2"/>
  <c r="G55" i="2"/>
  <c r="G146" i="2"/>
  <c r="G116" i="2"/>
  <c r="G17" i="2"/>
  <c r="G104" i="2"/>
  <c r="G190" i="2"/>
  <c r="G199" i="2"/>
  <c r="G176" i="2"/>
  <c r="G48" i="2"/>
  <c r="G173" i="2"/>
  <c r="G16" i="2"/>
  <c r="G152" i="2"/>
  <c r="G123" i="2"/>
  <c r="G127" i="2"/>
  <c r="G4" i="2"/>
  <c r="G193" i="2"/>
  <c r="G135" i="2"/>
  <c r="G166" i="2"/>
  <c r="G167" i="2"/>
  <c r="G87" i="2"/>
  <c r="G53" i="2"/>
  <c r="G150" i="2"/>
  <c r="G124" i="2"/>
  <c r="G200" i="2"/>
  <c r="G33" i="2"/>
  <c r="G129" i="2"/>
  <c r="G143" i="2"/>
  <c r="G197" i="2"/>
  <c r="G148" i="2"/>
  <c r="G149" i="2"/>
  <c r="G52" i="2"/>
  <c r="G50" i="2"/>
  <c r="G179" i="2"/>
  <c r="G78" i="2"/>
  <c r="G174" i="2"/>
  <c r="G73" i="2"/>
  <c r="G18" i="2"/>
  <c r="G163" i="2"/>
  <c r="G24" i="2"/>
  <c r="G180" i="2"/>
  <c r="G59" i="2"/>
  <c r="G182" i="2"/>
  <c r="G57" i="2"/>
  <c r="G75" i="2"/>
  <c r="G162" i="2"/>
  <c r="G147" i="2"/>
  <c r="G28" i="2"/>
  <c r="G39" i="2"/>
  <c r="G159" i="2"/>
  <c r="G70" i="2"/>
  <c r="G141" i="2"/>
  <c r="G171" i="2"/>
  <c r="G67" i="2"/>
  <c r="G185" i="2"/>
  <c r="G112" i="2"/>
  <c r="G183" i="2"/>
  <c r="G14" i="2"/>
  <c r="G83" i="2"/>
  <c r="G80" i="2"/>
  <c r="G196" i="2"/>
  <c r="G119" i="2"/>
  <c r="G11" i="2"/>
  <c r="G3" i="2"/>
  <c r="G19" i="2"/>
  <c r="G170" i="2"/>
  <c r="G169" i="2"/>
  <c r="G61" i="2"/>
  <c r="G156" i="2"/>
  <c r="G184" i="2"/>
  <c r="G142" i="2"/>
  <c r="G158" i="2"/>
  <c r="G134" i="2"/>
  <c r="G115" i="2"/>
  <c r="G34" i="2"/>
  <c r="G120" i="2"/>
  <c r="G140" i="2"/>
  <c r="G181" i="2"/>
  <c r="G20" i="2"/>
  <c r="G41" i="2"/>
  <c r="G125" i="2"/>
  <c r="G25" i="2"/>
  <c r="G77" i="2"/>
  <c r="G93" i="2"/>
  <c r="G188" i="2"/>
  <c r="G66" i="2"/>
  <c r="G144" i="2"/>
  <c r="G187" i="2"/>
  <c r="G175" i="2"/>
  <c r="G133" i="2"/>
  <c r="G177" i="2"/>
  <c r="G13" i="2"/>
  <c r="G51" i="2"/>
  <c r="G172" i="2"/>
  <c r="G99" i="2"/>
  <c r="G23" i="2"/>
  <c r="G12" i="2"/>
  <c r="G65" i="2"/>
  <c r="G155" i="2"/>
  <c r="G68" i="2"/>
  <c r="G46" i="2"/>
  <c r="G7" i="2"/>
  <c r="G121" i="2"/>
  <c r="G38" i="2"/>
  <c r="G44" i="2"/>
  <c r="G47" i="2"/>
  <c r="G100" i="2"/>
  <c r="G110" i="2"/>
  <c r="G107" i="2"/>
  <c r="G90" i="2"/>
  <c r="G27" i="2"/>
  <c r="G6" i="2"/>
  <c r="G5" i="2"/>
  <c r="G31" i="2"/>
  <c r="G36" i="2"/>
  <c r="G92" i="2"/>
  <c r="G117" i="2"/>
  <c r="G63" i="2"/>
  <c r="G103" i="2"/>
  <c r="G9" i="2"/>
  <c r="G153" i="2"/>
  <c r="G191" i="2"/>
  <c r="G94" i="2"/>
  <c r="G29" i="2"/>
  <c r="G136" i="2"/>
  <c r="G98" i="2"/>
  <c r="G108" i="2"/>
  <c r="G194" i="2"/>
  <c r="G96" i="2"/>
  <c r="G40" i="2"/>
  <c r="G60" i="2"/>
  <c r="G72" i="2"/>
  <c r="G106" i="2"/>
  <c r="G122" i="2"/>
  <c r="G198" i="2"/>
  <c r="G8" i="2"/>
  <c r="G89" i="2"/>
  <c r="G62" i="2"/>
  <c r="G37" i="2"/>
  <c r="G86" i="2"/>
  <c r="G26" i="2"/>
  <c r="G186" i="2"/>
  <c r="G64" i="2"/>
  <c r="G45" i="2"/>
  <c r="G10" i="2"/>
  <c r="G109" i="2"/>
  <c r="G81" i="2"/>
  <c r="G54" i="2"/>
  <c r="G189" i="2"/>
  <c r="G95" i="2"/>
  <c r="G151" i="2"/>
  <c r="G160" i="2"/>
  <c r="G91" i="2"/>
  <c r="G49" i="2"/>
  <c r="G58" i="2"/>
  <c r="G111" i="2"/>
  <c r="G69" i="2"/>
  <c r="G102" i="2"/>
  <c r="G42" i="2"/>
  <c r="G131" i="2"/>
  <c r="G130" i="2"/>
  <c r="G154" i="2"/>
  <c r="G139" i="2"/>
  <c r="G113" i="2"/>
  <c r="G128" i="2"/>
  <c r="G15" i="2"/>
  <c r="G35" i="2"/>
  <c r="G165" i="2"/>
  <c r="G79" i="2"/>
  <c r="G82" i="2"/>
  <c r="G161" i="2"/>
  <c r="G192" i="2"/>
  <c r="G195" i="2"/>
  <c r="G178" i="2"/>
  <c r="G168" i="2"/>
  <c r="G118" i="2"/>
  <c r="G76" i="2"/>
  <c r="G105" i="2"/>
  <c r="G22" i="2"/>
  <c r="G30" i="2"/>
  <c r="G132" i="2"/>
  <c r="G88" i="2"/>
  <c r="G114" i="2"/>
  <c r="G2" i="2"/>
  <c r="G145" i="2"/>
  <c r="G32" i="2"/>
  <c r="G101" i="2"/>
  <c r="G21" i="2"/>
  <c r="G138" i="2"/>
  <c r="G157" i="2"/>
  <c r="G201" i="2"/>
  <c r="G7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BBC2FE-064A-433A-B56E-8C37DA319C1D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<sst xmlns="http://schemas.openxmlformats.org/spreadsheetml/2006/main" count="216" uniqueCount="19">
  <si>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</si>
  <si>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</si>
  <si>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</si>
  <si>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</si>
  <si>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</si>
  <si>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</si>
  <si>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</si>
  <si>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</si>
  <si>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</si>
  <si>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</si>
  <si>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</si>
  <si>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Row Labels</t>
  </si>
  <si>
    <t>(blank)</t>
  </si>
  <si>
    <t>Grand Total</t>
  </si>
  <si>
    <t>Sum of New_Followers</t>
  </si>
  <si>
    <t>Net Follower gain</t>
  </si>
  <si>
    <t>Weeks_Start_Date</t>
  </si>
  <si>
    <t>Sum_of_Ad_spend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</si>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</sst>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6.xlsx]Trends!PivotTable18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rgbClr val="92D050"/>
                </a:solidFill>
                <a:prstDash val="solid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Trends!$A$4:$A$55</c:f>
              <c:strCache>
                <c:ptCount val="51"/>
                <c:pt idx="0">
                  <c:v>6/3/2024</c:v>
                </c:pt>
                <c:pt idx="1">
                  <c:v>6/10/2024</c:v>
                </c:pt>
                <c:pt idx="2">
                  <c:v>6/17/2024</c:v>
                </c:pt>
                <c:pt idx="3">
                  <c:v>6/24/2024</c:v>
                </c:pt>
                <c:pt idx="4">
                  <c:v>7/1/2024</c:v>
                </c:pt>
                <c:pt idx="5">
                  <c:v>7/8/2024</c:v>
                </c:pt>
                <c:pt idx="6">
                  <c:v>7/15/2024</c:v>
                </c:pt>
                <c:pt idx="7">
                  <c:v>7/22/2024</c:v>
                </c:pt>
                <c:pt idx="8">
                  <c:v>7/29/2024</c:v>
                </c:pt>
                <c:pt idx="9">
                  <c:v>8/5/2024</c:v>
                </c:pt>
                <c:pt idx="10">
                  <c:v>8/12/2024</c:v>
                </c:pt>
                <c:pt idx="11">
                  <c:v>8/19/2024</c:v>
                </c:pt>
                <c:pt idx="12">
                  <c:v>8/26/2024</c:v>
                </c:pt>
                <c:pt idx="13">
                  <c:v>9/2/2024</c:v>
                </c:pt>
                <c:pt idx="14">
                  <c:v>9/9/2024</c:v>
                </c:pt>
                <c:pt idx="15">
                  <c:v>9/16/2024</c:v>
                </c:pt>
                <c:pt idx="16">
                  <c:v>9/23/2024</c:v>
                </c:pt>
                <c:pt idx="17">
                  <c:v>9/30/2024</c:v>
                </c:pt>
                <c:pt idx="18">
                  <c:v>10/7/2024</c:v>
                </c:pt>
                <c:pt idx="19">
                  <c:v>10/14/2024</c:v>
                </c:pt>
                <c:pt idx="20">
                  <c:v>10/21/2024</c:v>
                </c:pt>
                <c:pt idx="21">
                  <c:v>10/28/2024</c:v>
                </c:pt>
                <c:pt idx="22">
                  <c:v>11/4/2024</c:v>
                </c:pt>
                <c:pt idx="23">
                  <c:v>11/11/2024</c:v>
                </c:pt>
                <c:pt idx="24">
                  <c:v>11/18/2024</c:v>
                </c:pt>
                <c:pt idx="25">
                  <c:v>11/25/2024</c:v>
                </c:pt>
                <c:pt idx="26">
                  <c:v>12/2/2024</c:v>
                </c:pt>
                <c:pt idx="27">
                  <c:v>12/9/2024</c:v>
                </c:pt>
                <c:pt idx="28">
                  <c:v>12/16/2024</c:v>
                </c:pt>
                <c:pt idx="29">
                  <c:v>12/23/2024</c:v>
                </c:pt>
                <c:pt idx="30">
                  <c:v>12/30/2024</c:v>
                </c:pt>
                <c:pt idx="31">
                  <c:v>1/6/2025</c:v>
                </c:pt>
                <c:pt idx="32">
                  <c:v>1/13/2025</c:v>
                </c:pt>
                <c:pt idx="33">
                  <c:v>1/20/2025</c:v>
                </c:pt>
                <c:pt idx="34">
                  <c:v>1/27/2025</c:v>
                </c:pt>
                <c:pt idx="35">
                  <c:v>2/3/2025</c:v>
                </c:pt>
                <c:pt idx="36">
                  <c:v>2/10/2025</c:v>
                </c:pt>
                <c:pt idx="37">
                  <c:v>2/17/2025</c:v>
                </c:pt>
                <c:pt idx="38">
                  <c:v>2/24/2025</c:v>
                </c:pt>
                <c:pt idx="39">
                  <c:v>3/3/2025</c:v>
                </c:pt>
                <c:pt idx="40">
                  <c:v>3/10/2025</c:v>
                </c:pt>
                <c:pt idx="41">
                  <c:v>3/17/2025</c:v>
                </c:pt>
                <c:pt idx="42">
                  <c:v>3/24/2025</c:v>
                </c:pt>
                <c:pt idx="43">
                  <c:v>3/31/2025</c:v>
                </c:pt>
                <c:pt idx="44">
                  <c:v>4/7/2025</c:v>
                </c:pt>
                <c:pt idx="45">
                  <c:v>4/14/2025</c:v>
                </c:pt>
                <c:pt idx="46">
                  <c:v>4/21/2025</c:v>
                </c:pt>
                <c:pt idx="47">
                  <c:v>4/28/2025</c:v>
                </c:pt>
                <c:pt idx="48">
                  <c:v>5/5/2025</c:v>
                </c:pt>
                <c:pt idx="49">
                  <c:v>5/12/2025</c:v>
                </c:pt>
                <c:pt idx="50">
                  <c:v>(blank)</c:v>
                </c:pt>
              </c:strCache>
            </c:strRef>
          </c:cat>
          <c:val>
            <c:numRef>
              <c:f>Trends!$B$4:$B$55</c:f>
              <c:numCache>
                <c:formatCode>General</c:formatCode>
                <c:ptCount val="51"/>
                <c:pt idx="0">
                  <c:v>4566</c:v>
                </c:pt>
                <c:pt idx="1">
                  <c:v>3986</c:v>
                </c:pt>
                <c:pt idx="2">
                  <c:v>4539</c:v>
                </c:pt>
                <c:pt idx="3">
                  <c:v>4236</c:v>
                </c:pt>
                <c:pt idx="4">
                  <c:v>2295</c:v>
                </c:pt>
                <c:pt idx="5">
                  <c:v>3977</c:v>
                </c:pt>
                <c:pt idx="6">
                  <c:v>3058</c:v>
                </c:pt>
                <c:pt idx="7">
                  <c:v>4404</c:v>
                </c:pt>
                <c:pt idx="8">
                  <c:v>3145</c:v>
                </c:pt>
                <c:pt idx="9">
                  <c:v>2145</c:v>
                </c:pt>
                <c:pt idx="10">
                  <c:v>4757</c:v>
                </c:pt>
                <c:pt idx="11">
                  <c:v>3265</c:v>
                </c:pt>
                <c:pt idx="12">
                  <c:v>3655</c:v>
                </c:pt>
                <c:pt idx="13">
                  <c:v>4234</c:v>
                </c:pt>
                <c:pt idx="14">
                  <c:v>5594</c:v>
                </c:pt>
                <c:pt idx="15">
                  <c:v>2816</c:v>
                </c:pt>
                <c:pt idx="16">
                  <c:v>4144</c:v>
                </c:pt>
                <c:pt idx="17">
                  <c:v>4353</c:v>
                </c:pt>
                <c:pt idx="18">
                  <c:v>4612</c:v>
                </c:pt>
                <c:pt idx="19">
                  <c:v>2785</c:v>
                </c:pt>
                <c:pt idx="20">
                  <c:v>3615</c:v>
                </c:pt>
                <c:pt idx="21">
                  <c:v>3506</c:v>
                </c:pt>
                <c:pt idx="22">
                  <c:v>5741</c:v>
                </c:pt>
                <c:pt idx="23">
                  <c:v>3187</c:v>
                </c:pt>
                <c:pt idx="24">
                  <c:v>1606</c:v>
                </c:pt>
                <c:pt idx="25">
                  <c:v>5187</c:v>
                </c:pt>
                <c:pt idx="26">
                  <c:v>5491</c:v>
                </c:pt>
                <c:pt idx="27">
                  <c:v>5681</c:v>
                </c:pt>
                <c:pt idx="28">
                  <c:v>5721</c:v>
                </c:pt>
                <c:pt idx="29">
                  <c:v>5284</c:v>
                </c:pt>
                <c:pt idx="30">
                  <c:v>7075</c:v>
                </c:pt>
                <c:pt idx="31">
                  <c:v>4353</c:v>
                </c:pt>
                <c:pt idx="32">
                  <c:v>3955</c:v>
                </c:pt>
                <c:pt idx="33">
                  <c:v>4617</c:v>
                </c:pt>
                <c:pt idx="34">
                  <c:v>4276</c:v>
                </c:pt>
                <c:pt idx="35">
                  <c:v>3794</c:v>
                </c:pt>
                <c:pt idx="36">
                  <c:v>6545</c:v>
                </c:pt>
                <c:pt idx="37">
                  <c:v>5057</c:v>
                </c:pt>
                <c:pt idx="38">
                  <c:v>5248</c:v>
                </c:pt>
                <c:pt idx="39">
                  <c:v>3172</c:v>
                </c:pt>
                <c:pt idx="40">
                  <c:v>4548</c:v>
                </c:pt>
                <c:pt idx="41">
                  <c:v>5133</c:v>
                </c:pt>
                <c:pt idx="42">
                  <c:v>1905</c:v>
                </c:pt>
                <c:pt idx="43">
                  <c:v>5924</c:v>
                </c:pt>
                <c:pt idx="44">
                  <c:v>3921</c:v>
                </c:pt>
                <c:pt idx="45">
                  <c:v>1269</c:v>
                </c:pt>
                <c:pt idx="46">
                  <c:v>5190</c:v>
                </c:pt>
                <c:pt idx="47">
                  <c:v>4525</c:v>
                </c:pt>
                <c:pt idx="48">
                  <c:v>4978</c:v>
                </c:pt>
                <c:pt idx="49">
                  <c:v>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0-4649-BAAB-E91E1BE2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913968"/>
        <c:axId val="891914448"/>
      </c:lineChart>
      <c:catAx>
        <c:axId val="89191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14448"/>
        <c:crosses val="autoZero"/>
        <c:auto val="1"/>
        <c:lblAlgn val="ctr"/>
        <c:lblOffset val="100"/>
        <c:noMultiLvlLbl val="0"/>
      </c:catAx>
      <c:valAx>
        <c:axId val="8919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1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Followers and Ads Spend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Correlation!$C$1</c:f>
              <c:strCache>
                <c:ptCount val="1"/>
                <c:pt idx="0">
                  <c:v>Sum_of_Ad_spend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Correlation!$B$2:$B$51</c:f>
              <c:numCache>
                <c:formatCode>General</c:formatCode>
                <c:ptCount val="50"/>
                <c:pt idx="0">
                  <c:v>4566</c:v>
                </c:pt>
                <c:pt idx="1">
                  <c:v>3986</c:v>
                </c:pt>
                <c:pt idx="2">
                  <c:v>4539</c:v>
                </c:pt>
                <c:pt idx="3">
                  <c:v>4236</c:v>
                </c:pt>
                <c:pt idx="4">
                  <c:v>2295</c:v>
                </c:pt>
                <c:pt idx="5">
                  <c:v>3977</c:v>
                </c:pt>
                <c:pt idx="6">
                  <c:v>3058</c:v>
                </c:pt>
                <c:pt idx="7">
                  <c:v>4404</c:v>
                </c:pt>
                <c:pt idx="8">
                  <c:v>3145</c:v>
                </c:pt>
                <c:pt idx="9">
                  <c:v>2145</c:v>
                </c:pt>
                <c:pt idx="10">
                  <c:v>4757</c:v>
                </c:pt>
                <c:pt idx="11">
                  <c:v>3265</c:v>
                </c:pt>
                <c:pt idx="12">
                  <c:v>3655</c:v>
                </c:pt>
                <c:pt idx="13">
                  <c:v>4234</c:v>
                </c:pt>
                <c:pt idx="14">
                  <c:v>5594</c:v>
                </c:pt>
                <c:pt idx="15">
                  <c:v>2816</c:v>
                </c:pt>
                <c:pt idx="16">
                  <c:v>4144</c:v>
                </c:pt>
                <c:pt idx="17">
                  <c:v>4353</c:v>
                </c:pt>
                <c:pt idx="18">
                  <c:v>4612</c:v>
                </c:pt>
                <c:pt idx="19">
                  <c:v>2785</c:v>
                </c:pt>
                <c:pt idx="20">
                  <c:v>3615</c:v>
                </c:pt>
                <c:pt idx="21">
                  <c:v>3506</c:v>
                </c:pt>
                <c:pt idx="22">
                  <c:v>5741</c:v>
                </c:pt>
                <c:pt idx="23">
                  <c:v>3187</c:v>
                </c:pt>
                <c:pt idx="24">
                  <c:v>1606</c:v>
                </c:pt>
                <c:pt idx="25">
                  <c:v>5187</c:v>
                </c:pt>
                <c:pt idx="26">
                  <c:v>5491</c:v>
                </c:pt>
                <c:pt idx="27">
                  <c:v>5681</c:v>
                </c:pt>
                <c:pt idx="28">
                  <c:v>5721</c:v>
                </c:pt>
                <c:pt idx="29">
                  <c:v>5284</c:v>
                </c:pt>
                <c:pt idx="30">
                  <c:v>7075</c:v>
                </c:pt>
                <c:pt idx="31">
                  <c:v>4353</c:v>
                </c:pt>
                <c:pt idx="32">
                  <c:v>3955</c:v>
                </c:pt>
                <c:pt idx="33">
                  <c:v>4617</c:v>
                </c:pt>
                <c:pt idx="34">
                  <c:v>4276</c:v>
                </c:pt>
                <c:pt idx="35">
                  <c:v>3794</c:v>
                </c:pt>
                <c:pt idx="36">
                  <c:v>6545</c:v>
                </c:pt>
                <c:pt idx="37">
                  <c:v>5057</c:v>
                </c:pt>
                <c:pt idx="38">
                  <c:v>5248</c:v>
                </c:pt>
                <c:pt idx="39">
                  <c:v>3172</c:v>
                </c:pt>
                <c:pt idx="40">
                  <c:v>4548</c:v>
                </c:pt>
                <c:pt idx="41">
                  <c:v>5133</c:v>
                </c:pt>
                <c:pt idx="42">
                  <c:v>1905</c:v>
                </c:pt>
                <c:pt idx="43">
                  <c:v>5924</c:v>
                </c:pt>
                <c:pt idx="44">
                  <c:v>3921</c:v>
                </c:pt>
                <c:pt idx="45">
                  <c:v>1269</c:v>
                </c:pt>
                <c:pt idx="46">
                  <c:v>5190</c:v>
                </c:pt>
                <c:pt idx="47">
                  <c:v>4525</c:v>
                </c:pt>
                <c:pt idx="48">
                  <c:v>4978</c:v>
                </c:pt>
                <c:pt idx="49">
                  <c:v>3058</c:v>
                </c:pt>
              </c:numCache>
            </c:numRef>
          </c:xVal>
          <c:yVal>
            <c:numRef>
              <c:f>Correlation!$C$2:$C$51</c:f>
              <c:numCache>
                <c:formatCode>General</c:formatCode>
                <c:ptCount val="50"/>
                <c:pt idx="0">
                  <c:v>72893</c:v>
                </c:pt>
                <c:pt idx="1">
                  <c:v>47961</c:v>
                </c:pt>
                <c:pt idx="2">
                  <c:v>104794</c:v>
                </c:pt>
                <c:pt idx="3">
                  <c:v>81748</c:v>
                </c:pt>
                <c:pt idx="4">
                  <c:v>87847</c:v>
                </c:pt>
                <c:pt idx="5">
                  <c:v>79341</c:v>
                </c:pt>
                <c:pt idx="6">
                  <c:v>115027</c:v>
                </c:pt>
                <c:pt idx="7">
                  <c:v>102610</c:v>
                </c:pt>
                <c:pt idx="8">
                  <c:v>76268</c:v>
                </c:pt>
                <c:pt idx="9">
                  <c:v>137514</c:v>
                </c:pt>
                <c:pt idx="10">
                  <c:v>125177</c:v>
                </c:pt>
                <c:pt idx="11">
                  <c:v>82193</c:v>
                </c:pt>
                <c:pt idx="12">
                  <c:v>94709</c:v>
                </c:pt>
                <c:pt idx="13">
                  <c:v>100656</c:v>
                </c:pt>
                <c:pt idx="14">
                  <c:v>92834</c:v>
                </c:pt>
                <c:pt idx="15">
                  <c:v>105113</c:v>
                </c:pt>
                <c:pt idx="16">
                  <c:v>75885</c:v>
                </c:pt>
                <c:pt idx="17">
                  <c:v>81889</c:v>
                </c:pt>
                <c:pt idx="18">
                  <c:v>117382</c:v>
                </c:pt>
                <c:pt idx="19">
                  <c:v>83598</c:v>
                </c:pt>
                <c:pt idx="20">
                  <c:v>140831</c:v>
                </c:pt>
                <c:pt idx="21">
                  <c:v>105800</c:v>
                </c:pt>
                <c:pt idx="22">
                  <c:v>94018</c:v>
                </c:pt>
                <c:pt idx="23">
                  <c:v>125961</c:v>
                </c:pt>
                <c:pt idx="24">
                  <c:v>97294</c:v>
                </c:pt>
                <c:pt idx="25">
                  <c:v>107714</c:v>
                </c:pt>
                <c:pt idx="26">
                  <c:v>106549</c:v>
                </c:pt>
                <c:pt idx="27">
                  <c:v>108811</c:v>
                </c:pt>
                <c:pt idx="28">
                  <c:v>102222</c:v>
                </c:pt>
                <c:pt idx="29">
                  <c:v>101698</c:v>
                </c:pt>
                <c:pt idx="30">
                  <c:v>78502</c:v>
                </c:pt>
                <c:pt idx="31">
                  <c:v>72926</c:v>
                </c:pt>
                <c:pt idx="32">
                  <c:v>113474</c:v>
                </c:pt>
                <c:pt idx="33">
                  <c:v>120060</c:v>
                </c:pt>
                <c:pt idx="34">
                  <c:v>109203</c:v>
                </c:pt>
                <c:pt idx="35">
                  <c:v>117419</c:v>
                </c:pt>
                <c:pt idx="36">
                  <c:v>94129</c:v>
                </c:pt>
                <c:pt idx="37">
                  <c:v>136582</c:v>
                </c:pt>
                <c:pt idx="38">
                  <c:v>120234</c:v>
                </c:pt>
                <c:pt idx="39">
                  <c:v>95341</c:v>
                </c:pt>
                <c:pt idx="40">
                  <c:v>53940</c:v>
                </c:pt>
                <c:pt idx="41">
                  <c:v>88465</c:v>
                </c:pt>
                <c:pt idx="42">
                  <c:v>111650</c:v>
                </c:pt>
                <c:pt idx="43">
                  <c:v>74375</c:v>
                </c:pt>
                <c:pt idx="44">
                  <c:v>132926</c:v>
                </c:pt>
                <c:pt idx="45">
                  <c:v>59981</c:v>
                </c:pt>
                <c:pt idx="46">
                  <c:v>49129</c:v>
                </c:pt>
                <c:pt idx="47">
                  <c:v>57130</c:v>
                </c:pt>
                <c:pt idx="48">
                  <c:v>105490</c:v>
                </c:pt>
                <c:pt idx="49">
                  <c:v>85623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1-4FEC-BFD2-EDF8084C9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598384"/>
        <c:axId val="891593584"/>
      </c:scatterChart>
      <c:valAx>
        <c:axId val="89159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New_Followers</a:t>
                </a:r>
                <a:r>
                  <a:rPr lang="en-US" baseline="0"/>
                  <a:t>_Gained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93584"/>
        <c:crosses val="autoZero"/>
        <c:crossBetween val="midCat"/>
      </c:valAx>
      <c:valAx>
        <c:axId val="8915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Ads_Spend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5</xdr:row>
      <xdr:rowOff>15240</xdr:rowOff>
    </xdr:from>
    <xdr:to>
      <xdr:col>13</xdr:col>
      <xdr:colOff>45720</xdr:colOff>
      <xdr:row>20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DC637F-3A7F-4B1A-7C12-560D1AD88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9</xdr:row>
      <xdr:rowOff>7620</xdr:rowOff>
    </xdr:from>
    <xdr:to>
      <xdr:col>12</xdr:col>
      <xdr:colOff>83820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5FC7D-91BE-ECD5-3620-7866A50FF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7.842646064812" createdVersion="8" refreshedVersion="8" minRefreshableVersion="3" recordCount="201" xr:uid="{C1DCC774-CAAD-4A70-ABA7-4973EE0F470B}">
  <cacheSource type="worksheet">
    <worksheetSource ref="A1:D1048576" sheet="Data Used"/>
  </cacheSource>
  <cacheFields count="6">
    <cacheField name="Week_Start_Date" numFmtId="0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  <fieldGroup par="5"/>
    </cacheField>
    <cacheField name="Platform" numFmtId="0">
      <sharedItems containsBlank="1" count="5">
        <s v="Instagram"/>
        <s v="Facebook"/>
        <s v="Twitter"/>
        <s v="YouTube"/>
        <m/>
      </sharedItems>
    </cacheField>
    <cacheField name="New_Followers" numFmtId="0">
      <sharedItems containsString="0" containsBlank="1" containsNumber="1" containsInteger="1" minValue="115" maxValue="1980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3/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6/3/2024"/>
          <s v="Qtr1"/>
          <s v="Qtr2"/>
          <s v="Qtr3"/>
          <s v="Qtr4"/>
          <s v="&gt;5/13/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6/3/2024"/>
          <s v="2024"/>
          <s v="2025"/>
          <s v="&gt;5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n v="1135"/>
  </r>
  <r>
    <x v="0"/>
    <x v="1"/>
    <n v="1312"/>
  </r>
  <r>
    <x v="0"/>
    <x v="2"/>
    <n v="584"/>
  </r>
  <r>
    <x v="0"/>
    <x v="3"/>
    <n v="1535"/>
  </r>
  <r>
    <x v="1"/>
    <x v="0"/>
    <n v="656"/>
  </r>
  <r>
    <x v="1"/>
    <x v="1"/>
    <n v="1697"/>
  </r>
  <r>
    <x v="1"/>
    <x v="2"/>
    <n v="436"/>
  </r>
  <r>
    <x v="1"/>
    <x v="3"/>
    <n v="1197"/>
  </r>
  <r>
    <x v="2"/>
    <x v="0"/>
    <n v="1048"/>
  </r>
  <r>
    <x v="2"/>
    <x v="1"/>
    <n v="1753"/>
  </r>
  <r>
    <x v="2"/>
    <x v="2"/>
    <n v="1335"/>
  </r>
  <r>
    <x v="2"/>
    <x v="3"/>
    <n v="403"/>
  </r>
  <r>
    <x v="3"/>
    <x v="0"/>
    <n v="911"/>
  </r>
  <r>
    <x v="3"/>
    <x v="1"/>
    <n v="1779"/>
  </r>
  <r>
    <x v="3"/>
    <x v="2"/>
    <n v="1238"/>
  </r>
  <r>
    <x v="3"/>
    <x v="3"/>
    <n v="308"/>
  </r>
  <r>
    <x v="4"/>
    <x v="0"/>
    <n v="226"/>
  </r>
  <r>
    <x v="4"/>
    <x v="1"/>
    <n v="505"/>
  </r>
  <r>
    <x v="4"/>
    <x v="2"/>
    <n v="1420"/>
  </r>
  <r>
    <x v="4"/>
    <x v="3"/>
    <n v="144"/>
  </r>
  <r>
    <x v="5"/>
    <x v="0"/>
    <n v="1757"/>
  </r>
  <r>
    <x v="5"/>
    <x v="1"/>
    <n v="350"/>
  </r>
  <r>
    <x v="5"/>
    <x v="2"/>
    <n v="987"/>
  </r>
  <r>
    <x v="5"/>
    <x v="3"/>
    <n v="883"/>
  </r>
  <r>
    <x v="6"/>
    <x v="0"/>
    <n v="1960"/>
  </r>
  <r>
    <x v="6"/>
    <x v="1"/>
    <n v="170"/>
  </r>
  <r>
    <x v="6"/>
    <x v="2"/>
    <n v="704"/>
  </r>
  <r>
    <x v="6"/>
    <x v="3"/>
    <n v="224"/>
  </r>
  <r>
    <x v="7"/>
    <x v="0"/>
    <n v="508"/>
  </r>
  <r>
    <x v="7"/>
    <x v="1"/>
    <n v="1391"/>
  </r>
  <r>
    <x v="7"/>
    <x v="2"/>
    <n v="1701"/>
  </r>
  <r>
    <x v="7"/>
    <x v="3"/>
    <n v="804"/>
  </r>
  <r>
    <x v="8"/>
    <x v="0"/>
    <n v="653"/>
  </r>
  <r>
    <x v="8"/>
    <x v="1"/>
    <n v="160"/>
  </r>
  <r>
    <x v="8"/>
    <x v="2"/>
    <n v="1756"/>
  </r>
  <r>
    <x v="8"/>
    <x v="3"/>
    <n v="576"/>
  </r>
  <r>
    <x v="9"/>
    <x v="0"/>
    <n v="645"/>
  </r>
  <r>
    <x v="9"/>
    <x v="1"/>
    <n v="214"/>
  </r>
  <r>
    <x v="9"/>
    <x v="2"/>
    <n v="826"/>
  </r>
  <r>
    <x v="9"/>
    <x v="3"/>
    <n v="460"/>
  </r>
  <r>
    <x v="10"/>
    <x v="0"/>
    <n v="1528"/>
  </r>
  <r>
    <x v="10"/>
    <x v="1"/>
    <n v="1534"/>
  </r>
  <r>
    <x v="10"/>
    <x v="2"/>
    <n v="485"/>
  </r>
  <r>
    <x v="10"/>
    <x v="3"/>
    <n v="1210"/>
  </r>
  <r>
    <x v="11"/>
    <x v="0"/>
    <n v="215"/>
  </r>
  <r>
    <x v="11"/>
    <x v="1"/>
    <n v="1078"/>
  </r>
  <r>
    <x v="11"/>
    <x v="2"/>
    <n v="1751"/>
  </r>
  <r>
    <x v="11"/>
    <x v="3"/>
    <n v="221"/>
  </r>
  <r>
    <x v="12"/>
    <x v="0"/>
    <n v="1685"/>
  </r>
  <r>
    <x v="12"/>
    <x v="1"/>
    <n v="248"/>
  </r>
  <r>
    <x v="12"/>
    <x v="2"/>
    <n v="1300"/>
  </r>
  <r>
    <x v="12"/>
    <x v="3"/>
    <n v="422"/>
  </r>
  <r>
    <x v="13"/>
    <x v="0"/>
    <n v="1429"/>
  </r>
  <r>
    <x v="13"/>
    <x v="1"/>
    <n v="1520"/>
  </r>
  <r>
    <x v="13"/>
    <x v="2"/>
    <n v="557"/>
  </r>
  <r>
    <x v="13"/>
    <x v="3"/>
    <n v="728"/>
  </r>
  <r>
    <x v="14"/>
    <x v="0"/>
    <n v="1592"/>
  </r>
  <r>
    <x v="14"/>
    <x v="1"/>
    <n v="1842"/>
  </r>
  <r>
    <x v="14"/>
    <x v="2"/>
    <n v="751"/>
  </r>
  <r>
    <x v="14"/>
    <x v="3"/>
    <n v="1409"/>
  </r>
  <r>
    <x v="15"/>
    <x v="0"/>
    <n v="778"/>
  </r>
  <r>
    <x v="15"/>
    <x v="1"/>
    <n v="443"/>
  </r>
  <r>
    <x v="15"/>
    <x v="2"/>
    <n v="1472"/>
  </r>
  <r>
    <x v="15"/>
    <x v="3"/>
    <n v="123"/>
  </r>
  <r>
    <x v="16"/>
    <x v="0"/>
    <n v="817"/>
  </r>
  <r>
    <x v="16"/>
    <x v="1"/>
    <n v="198"/>
  </r>
  <r>
    <x v="16"/>
    <x v="2"/>
    <n v="1911"/>
  </r>
  <r>
    <x v="16"/>
    <x v="3"/>
    <n v="1218"/>
  </r>
  <r>
    <x v="17"/>
    <x v="0"/>
    <n v="1433"/>
  </r>
  <r>
    <x v="17"/>
    <x v="1"/>
    <n v="250"/>
  </r>
  <r>
    <x v="17"/>
    <x v="2"/>
    <n v="752"/>
  </r>
  <r>
    <x v="17"/>
    <x v="3"/>
    <n v="1918"/>
  </r>
  <r>
    <x v="18"/>
    <x v="0"/>
    <n v="1939"/>
  </r>
  <r>
    <x v="18"/>
    <x v="1"/>
    <n v="1929"/>
  </r>
  <r>
    <x v="18"/>
    <x v="2"/>
    <n v="437"/>
  </r>
  <r>
    <x v="18"/>
    <x v="3"/>
    <n v="307"/>
  </r>
  <r>
    <x v="19"/>
    <x v="0"/>
    <n v="1527"/>
  </r>
  <r>
    <x v="19"/>
    <x v="1"/>
    <n v="643"/>
  </r>
  <r>
    <x v="19"/>
    <x v="2"/>
    <n v="201"/>
  </r>
  <r>
    <x v="19"/>
    <x v="3"/>
    <n v="414"/>
  </r>
  <r>
    <x v="20"/>
    <x v="0"/>
    <n v="703"/>
  </r>
  <r>
    <x v="20"/>
    <x v="1"/>
    <n v="508"/>
  </r>
  <r>
    <x v="20"/>
    <x v="2"/>
    <n v="697"/>
  </r>
  <r>
    <x v="20"/>
    <x v="3"/>
    <n v="1707"/>
  </r>
  <r>
    <x v="21"/>
    <x v="0"/>
    <n v="642"/>
  </r>
  <r>
    <x v="21"/>
    <x v="1"/>
    <n v="859"/>
  </r>
  <r>
    <x v="21"/>
    <x v="2"/>
    <n v="191"/>
  </r>
  <r>
    <x v="21"/>
    <x v="3"/>
    <n v="1814"/>
  </r>
  <r>
    <x v="22"/>
    <x v="0"/>
    <n v="1466"/>
  </r>
  <r>
    <x v="22"/>
    <x v="1"/>
    <n v="947"/>
  </r>
  <r>
    <x v="22"/>
    <x v="2"/>
    <n v="1821"/>
  </r>
  <r>
    <x v="22"/>
    <x v="3"/>
    <n v="1507"/>
  </r>
  <r>
    <x v="23"/>
    <x v="0"/>
    <n v="1075"/>
  </r>
  <r>
    <x v="23"/>
    <x v="1"/>
    <n v="171"/>
  </r>
  <r>
    <x v="23"/>
    <x v="2"/>
    <n v="1487"/>
  </r>
  <r>
    <x v="23"/>
    <x v="3"/>
    <n v="454"/>
  </r>
  <r>
    <x v="24"/>
    <x v="0"/>
    <n v="187"/>
  </r>
  <r>
    <x v="24"/>
    <x v="1"/>
    <n v="513"/>
  </r>
  <r>
    <x v="24"/>
    <x v="2"/>
    <n v="628"/>
  </r>
  <r>
    <x v="24"/>
    <x v="3"/>
    <n v="278"/>
  </r>
  <r>
    <x v="25"/>
    <x v="0"/>
    <n v="1854"/>
  </r>
  <r>
    <x v="25"/>
    <x v="1"/>
    <n v="1710"/>
  </r>
  <r>
    <x v="25"/>
    <x v="2"/>
    <n v="330"/>
  </r>
  <r>
    <x v="25"/>
    <x v="3"/>
    <n v="1293"/>
  </r>
  <r>
    <x v="26"/>
    <x v="0"/>
    <n v="1696"/>
  </r>
  <r>
    <x v="26"/>
    <x v="1"/>
    <n v="1902"/>
  </r>
  <r>
    <x v="26"/>
    <x v="2"/>
    <n v="1441"/>
  </r>
  <r>
    <x v="26"/>
    <x v="3"/>
    <n v="452"/>
  </r>
  <r>
    <x v="27"/>
    <x v="0"/>
    <n v="1494"/>
  </r>
  <r>
    <x v="27"/>
    <x v="1"/>
    <n v="1514"/>
  </r>
  <r>
    <x v="27"/>
    <x v="2"/>
    <n v="1937"/>
  </r>
  <r>
    <x v="27"/>
    <x v="3"/>
    <n v="736"/>
  </r>
  <r>
    <x v="28"/>
    <x v="0"/>
    <n v="1502"/>
  </r>
  <r>
    <x v="28"/>
    <x v="1"/>
    <n v="1623"/>
  </r>
  <r>
    <x v="28"/>
    <x v="2"/>
    <n v="1592"/>
  </r>
  <r>
    <x v="28"/>
    <x v="3"/>
    <n v="1004"/>
  </r>
  <r>
    <x v="29"/>
    <x v="0"/>
    <n v="1092"/>
  </r>
  <r>
    <x v="29"/>
    <x v="1"/>
    <n v="1155"/>
  </r>
  <r>
    <x v="29"/>
    <x v="2"/>
    <n v="1137"/>
  </r>
  <r>
    <x v="29"/>
    <x v="3"/>
    <n v="1900"/>
  </r>
  <r>
    <x v="30"/>
    <x v="0"/>
    <n v="1814"/>
  </r>
  <r>
    <x v="30"/>
    <x v="1"/>
    <n v="1980"/>
  </r>
  <r>
    <x v="30"/>
    <x v="2"/>
    <n v="1786"/>
  </r>
  <r>
    <x v="30"/>
    <x v="3"/>
    <n v="1495"/>
  </r>
  <r>
    <x v="31"/>
    <x v="0"/>
    <n v="1013"/>
  </r>
  <r>
    <x v="31"/>
    <x v="1"/>
    <n v="816"/>
  </r>
  <r>
    <x v="31"/>
    <x v="2"/>
    <n v="1633"/>
  </r>
  <r>
    <x v="31"/>
    <x v="3"/>
    <n v="891"/>
  </r>
  <r>
    <x v="32"/>
    <x v="0"/>
    <n v="1855"/>
  </r>
  <r>
    <x v="32"/>
    <x v="1"/>
    <n v="651"/>
  </r>
  <r>
    <x v="32"/>
    <x v="2"/>
    <n v="118"/>
  </r>
  <r>
    <x v="32"/>
    <x v="3"/>
    <n v="1331"/>
  </r>
  <r>
    <x v="33"/>
    <x v="0"/>
    <n v="1748"/>
  </r>
  <r>
    <x v="33"/>
    <x v="1"/>
    <n v="663"/>
  </r>
  <r>
    <x v="33"/>
    <x v="2"/>
    <n v="1040"/>
  </r>
  <r>
    <x v="33"/>
    <x v="3"/>
    <n v="1166"/>
  </r>
  <r>
    <x v="34"/>
    <x v="0"/>
    <n v="115"/>
  </r>
  <r>
    <x v="34"/>
    <x v="1"/>
    <n v="1249"/>
  </r>
  <r>
    <x v="34"/>
    <x v="2"/>
    <n v="1501"/>
  </r>
  <r>
    <x v="34"/>
    <x v="3"/>
    <n v="1411"/>
  </r>
  <r>
    <x v="35"/>
    <x v="0"/>
    <n v="1556"/>
  </r>
  <r>
    <x v="35"/>
    <x v="1"/>
    <n v="1159"/>
  </r>
  <r>
    <x v="35"/>
    <x v="2"/>
    <n v="927"/>
  </r>
  <r>
    <x v="35"/>
    <x v="3"/>
    <n v="152"/>
  </r>
  <r>
    <x v="36"/>
    <x v="0"/>
    <n v="1957"/>
  </r>
  <r>
    <x v="36"/>
    <x v="1"/>
    <n v="1294"/>
  </r>
  <r>
    <x v="36"/>
    <x v="2"/>
    <n v="1587"/>
  </r>
  <r>
    <x v="36"/>
    <x v="3"/>
    <n v="1707"/>
  </r>
  <r>
    <x v="37"/>
    <x v="0"/>
    <n v="1138"/>
  </r>
  <r>
    <x v="37"/>
    <x v="1"/>
    <n v="1895"/>
  </r>
  <r>
    <x v="37"/>
    <x v="2"/>
    <n v="362"/>
  </r>
  <r>
    <x v="37"/>
    <x v="3"/>
    <n v="1662"/>
  </r>
  <r>
    <x v="38"/>
    <x v="0"/>
    <n v="1440"/>
  </r>
  <r>
    <x v="38"/>
    <x v="1"/>
    <n v="1884"/>
  </r>
  <r>
    <x v="38"/>
    <x v="2"/>
    <n v="861"/>
  </r>
  <r>
    <x v="38"/>
    <x v="3"/>
    <n v="1063"/>
  </r>
  <r>
    <x v="39"/>
    <x v="0"/>
    <n v="1371"/>
  </r>
  <r>
    <x v="39"/>
    <x v="1"/>
    <n v="345"/>
  </r>
  <r>
    <x v="39"/>
    <x v="2"/>
    <n v="946"/>
  </r>
  <r>
    <x v="39"/>
    <x v="3"/>
    <n v="510"/>
  </r>
  <r>
    <x v="40"/>
    <x v="0"/>
    <n v="393"/>
  </r>
  <r>
    <x v="40"/>
    <x v="1"/>
    <n v="1098"/>
  </r>
  <r>
    <x v="40"/>
    <x v="2"/>
    <n v="1399"/>
  </r>
  <r>
    <x v="40"/>
    <x v="3"/>
    <n v="1658"/>
  </r>
  <r>
    <x v="41"/>
    <x v="0"/>
    <n v="1102"/>
  </r>
  <r>
    <x v="41"/>
    <x v="1"/>
    <n v="1358"/>
  </r>
  <r>
    <x v="41"/>
    <x v="2"/>
    <n v="1077"/>
  </r>
  <r>
    <x v="41"/>
    <x v="3"/>
    <n v="1596"/>
  </r>
  <r>
    <x v="42"/>
    <x v="0"/>
    <n v="490"/>
  </r>
  <r>
    <x v="42"/>
    <x v="1"/>
    <n v="609"/>
  </r>
  <r>
    <x v="42"/>
    <x v="2"/>
    <n v="364"/>
  </r>
  <r>
    <x v="42"/>
    <x v="3"/>
    <n v="442"/>
  </r>
  <r>
    <x v="43"/>
    <x v="0"/>
    <n v="1033"/>
  </r>
  <r>
    <x v="43"/>
    <x v="1"/>
    <n v="988"/>
  </r>
  <r>
    <x v="43"/>
    <x v="2"/>
    <n v="1946"/>
  </r>
  <r>
    <x v="43"/>
    <x v="3"/>
    <n v="1957"/>
  </r>
  <r>
    <x v="44"/>
    <x v="0"/>
    <n v="559"/>
  </r>
  <r>
    <x v="44"/>
    <x v="1"/>
    <n v="1307"/>
  </r>
  <r>
    <x v="44"/>
    <x v="2"/>
    <n v="1432"/>
  </r>
  <r>
    <x v="44"/>
    <x v="3"/>
    <n v="623"/>
  </r>
  <r>
    <x v="45"/>
    <x v="0"/>
    <n v="198"/>
  </r>
  <r>
    <x v="45"/>
    <x v="1"/>
    <n v="198"/>
  </r>
  <r>
    <x v="45"/>
    <x v="2"/>
    <n v="353"/>
  </r>
  <r>
    <x v="45"/>
    <x v="3"/>
    <n v="520"/>
  </r>
  <r>
    <x v="46"/>
    <x v="0"/>
    <n v="961"/>
  </r>
  <r>
    <x v="46"/>
    <x v="1"/>
    <n v="1375"/>
  </r>
  <r>
    <x v="46"/>
    <x v="2"/>
    <n v="1147"/>
  </r>
  <r>
    <x v="46"/>
    <x v="3"/>
    <n v="1707"/>
  </r>
  <r>
    <x v="47"/>
    <x v="0"/>
    <n v="1693"/>
  </r>
  <r>
    <x v="47"/>
    <x v="1"/>
    <n v="833"/>
  </r>
  <r>
    <x v="47"/>
    <x v="2"/>
    <n v="1222"/>
  </r>
  <r>
    <x v="47"/>
    <x v="3"/>
    <n v="777"/>
  </r>
  <r>
    <x v="48"/>
    <x v="0"/>
    <n v="1957"/>
  </r>
  <r>
    <x v="48"/>
    <x v="1"/>
    <n v="405"/>
  </r>
  <r>
    <x v="48"/>
    <x v="2"/>
    <n v="1581"/>
  </r>
  <r>
    <x v="48"/>
    <x v="3"/>
    <n v="1035"/>
  </r>
  <r>
    <x v="49"/>
    <x v="0"/>
    <n v="1765"/>
  </r>
  <r>
    <x v="49"/>
    <x v="1"/>
    <n v="837"/>
  </r>
  <r>
    <x v="49"/>
    <x v="2"/>
    <n v="337"/>
  </r>
  <r>
    <x v="49"/>
    <x v="3"/>
    <n v="119"/>
  </r>
  <r>
    <x v="50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54741-BB7E-43B4-B87D-DA6819F851BF}" name="PivotTable18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55" firstHeaderRow="1" firstDataRow="1" firstDataCol="1"/>
  <pivotFields count="6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>
      <items count="6">
        <item x="1"/>
        <item x="0"/>
        <item x="2"/>
        <item x="3"/>
        <item h="1" x="4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New_Followers" fld="2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072667-C5EA-481E-A87D-845416C9F74F}" autoFormatId="16" applyNumberFormats="0" applyBorderFormats="0" applyFontFormats="0" applyPatternFormats="0" applyAlignmentFormats="0" applyWidthHeightFormats="0">
  <queryTableRefresh nextId="1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8" dataBound="0" tableColumnId="8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DB342-0A3D-47B1-9FFC-2334D3A47DDE}" name="Engagement_Summary" displayName="Engagement_Summary" ref="A1:H201" tableType="queryTable" totalsRowShown="0">
  <autoFilter ref="A1:H201" xr:uid="{B13DB342-0A3D-47B1-9FFC-2334D3A47DDE}"/>
  <sortState xmlns:xlrd2="http://schemas.microsoft.com/office/spreadsheetml/2017/richdata2" ref="A2:H201">
    <sortCondition descending="1" ref="G1:G201"/>
  </sortState>
  <tableColumns count="8">
    <tableColumn id="1" xr3:uid="{0970333E-A8B1-4540-8618-0B988D24F665}" uniqueName="1" name="Week_Start_Date" queryTableFieldId="1" dataDxfId="2"/>
    <tableColumn id="2" xr3:uid="{57079C86-439A-4CBA-9E06-5ACDFAB3F472}" uniqueName="2" name="Platform" queryTableFieldId="2" dataDxfId="1"/>
    <tableColumn id="3" xr3:uid="{3FFC6AF4-08B7-4D71-868D-1E2D7CDDD14D}" uniqueName="3" name="New_Followers" queryTableFieldId="3"/>
    <tableColumn id="4" xr3:uid="{2857CF86-6F81-4970-9ACB-82BBA3C54567}" uniqueName="4" name="Unfollows" queryTableFieldId="4"/>
    <tableColumn id="5" xr3:uid="{863DAFDD-6335-475A-839C-B60B72D2BDDE}" uniqueName="5" name="Total_Followers" queryTableFieldId="5"/>
    <tableColumn id="6" xr3:uid="{A14B7E2C-E32C-49CC-9B1C-6E3E9AB41877}" uniqueName="6" name="Engagement_Rate" queryTableFieldId="6"/>
    <tableColumn id="8" xr3:uid="{E51DEA51-EEB8-4781-8399-FE181D29995D}" uniqueName="8" name="Net Follower gain" queryTableFieldId="8" dataDxfId="0">
      <calculatedColumnFormula>C2-D2</calculatedColumnFormula>
    </tableColumn>
    <tableColumn id="7" xr3:uid="{75C24151-3E4E-40E2-97A3-5AED40FC8E3A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3AB3-B6C1-46CD-A8DE-054B4F580D05}">
  <dimension ref="A3:B55"/>
  <sheetViews>
    <sheetView topLeftCell="A13" workbookViewId="0">
      <selection activeCell="B3" sqref="B3:B53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6.88671875" bestFit="1" customWidth="1"/>
    <col min="4" max="4" width="8.44140625" bestFit="1" customWidth="1"/>
    <col min="5" max="6" width="10.77734375" bestFit="1" customWidth="1"/>
  </cols>
  <sheetData>
    <row r="3" spans="1:2" x14ac:dyDescent="0.3">
      <c r="A3" s="3" t="s">
        <v>11</v>
      </c>
      <c r="B3" t="s">
        <v>14</v>
      </c>
    </row>
    <row r="4" spans="1:2" x14ac:dyDescent="0.3">
      <c r="A4" s="4">
        <v>45446</v>
      </c>
      <c r="B4" s="2">
        <v>4566</v>
      </c>
    </row>
    <row r="5" spans="1:2" x14ac:dyDescent="0.3">
      <c r="A5" s="4">
        <v>45453</v>
      </c>
      <c r="B5" s="2">
        <v>3986</v>
      </c>
    </row>
    <row r="6" spans="1:2" x14ac:dyDescent="0.3">
      <c r="A6" s="4">
        <v>45460</v>
      </c>
      <c r="B6" s="2">
        <v>4539</v>
      </c>
    </row>
    <row r="7" spans="1:2" x14ac:dyDescent="0.3">
      <c r="A7" s="4">
        <v>45467</v>
      </c>
      <c r="B7" s="2">
        <v>4236</v>
      </c>
    </row>
    <row r="8" spans="1:2" x14ac:dyDescent="0.3">
      <c r="A8" s="4">
        <v>45474</v>
      </c>
      <c r="B8" s="2">
        <v>2295</v>
      </c>
    </row>
    <row r="9" spans="1:2" x14ac:dyDescent="0.3">
      <c r="A9" s="4">
        <v>45481</v>
      </c>
      <c r="B9" s="2">
        <v>3977</v>
      </c>
    </row>
    <row r="10" spans="1:2" x14ac:dyDescent="0.3">
      <c r="A10" s="4">
        <v>45488</v>
      </c>
      <c r="B10" s="2">
        <v>3058</v>
      </c>
    </row>
    <row r="11" spans="1:2" x14ac:dyDescent="0.3">
      <c r="A11" s="4">
        <v>45495</v>
      </c>
      <c r="B11" s="2">
        <v>4404</v>
      </c>
    </row>
    <row r="12" spans="1:2" x14ac:dyDescent="0.3">
      <c r="A12" s="4">
        <v>45502</v>
      </c>
      <c r="B12" s="2">
        <v>3145</v>
      </c>
    </row>
    <row r="13" spans="1:2" x14ac:dyDescent="0.3">
      <c r="A13" s="4">
        <v>45509</v>
      </c>
      <c r="B13" s="2">
        <v>2145</v>
      </c>
    </row>
    <row r="14" spans="1:2" x14ac:dyDescent="0.3">
      <c r="A14" s="4">
        <v>45516</v>
      </c>
      <c r="B14" s="2">
        <v>4757</v>
      </c>
    </row>
    <row r="15" spans="1:2" x14ac:dyDescent="0.3">
      <c r="A15" s="4">
        <v>45523</v>
      </c>
      <c r="B15" s="2">
        <v>3265</v>
      </c>
    </row>
    <row r="16" spans="1:2" x14ac:dyDescent="0.3">
      <c r="A16" s="4">
        <v>45530</v>
      </c>
      <c r="B16" s="2">
        <v>3655</v>
      </c>
    </row>
    <row r="17" spans="1:2" x14ac:dyDescent="0.3">
      <c r="A17" s="4">
        <v>45537</v>
      </c>
      <c r="B17" s="2">
        <v>4234</v>
      </c>
    </row>
    <row r="18" spans="1:2" x14ac:dyDescent="0.3">
      <c r="A18" s="4">
        <v>45544</v>
      </c>
      <c r="B18" s="2">
        <v>5594</v>
      </c>
    </row>
    <row r="19" spans="1:2" x14ac:dyDescent="0.3">
      <c r="A19" s="4">
        <v>45551</v>
      </c>
      <c r="B19" s="2">
        <v>2816</v>
      </c>
    </row>
    <row r="20" spans="1:2" x14ac:dyDescent="0.3">
      <c r="A20" s="4">
        <v>45558</v>
      </c>
      <c r="B20" s="2">
        <v>4144</v>
      </c>
    </row>
    <row r="21" spans="1:2" x14ac:dyDescent="0.3">
      <c r="A21" s="4">
        <v>45565</v>
      </c>
      <c r="B21" s="2">
        <v>4353</v>
      </c>
    </row>
    <row r="22" spans="1:2" x14ac:dyDescent="0.3">
      <c r="A22" s="4">
        <v>45572</v>
      </c>
      <c r="B22" s="2">
        <v>4612</v>
      </c>
    </row>
    <row r="23" spans="1:2" x14ac:dyDescent="0.3">
      <c r="A23" s="4">
        <v>45579</v>
      </c>
      <c r="B23" s="2">
        <v>2785</v>
      </c>
    </row>
    <row r="24" spans="1:2" x14ac:dyDescent="0.3">
      <c r="A24" s="4">
        <v>45586</v>
      </c>
      <c r="B24" s="2">
        <v>3615</v>
      </c>
    </row>
    <row r="25" spans="1:2" x14ac:dyDescent="0.3">
      <c r="A25" s="4">
        <v>45593</v>
      </c>
      <c r="B25" s="2">
        <v>3506</v>
      </c>
    </row>
    <row r="26" spans="1:2" x14ac:dyDescent="0.3">
      <c r="A26" s="4">
        <v>45600</v>
      </c>
      <c r="B26" s="2">
        <v>5741</v>
      </c>
    </row>
    <row r="27" spans="1:2" x14ac:dyDescent="0.3">
      <c r="A27" s="4">
        <v>45607</v>
      </c>
      <c r="B27" s="2">
        <v>3187</v>
      </c>
    </row>
    <row r="28" spans="1:2" x14ac:dyDescent="0.3">
      <c r="A28" s="4">
        <v>45614</v>
      </c>
      <c r="B28" s="2">
        <v>1606</v>
      </c>
    </row>
    <row r="29" spans="1:2" x14ac:dyDescent="0.3">
      <c r="A29" s="4">
        <v>45621</v>
      </c>
      <c r="B29" s="2">
        <v>5187</v>
      </c>
    </row>
    <row r="30" spans="1:2" x14ac:dyDescent="0.3">
      <c r="A30" s="4">
        <v>45628</v>
      </c>
      <c r="B30" s="2">
        <v>5491</v>
      </c>
    </row>
    <row r="31" spans="1:2" x14ac:dyDescent="0.3">
      <c r="A31" s="4">
        <v>45635</v>
      </c>
      <c r="B31" s="2">
        <v>5681</v>
      </c>
    </row>
    <row r="32" spans="1:2" x14ac:dyDescent="0.3">
      <c r="A32" s="4">
        <v>45642</v>
      </c>
      <c r="B32" s="2">
        <v>5721</v>
      </c>
    </row>
    <row r="33" spans="1:2" x14ac:dyDescent="0.3">
      <c r="A33" s="4">
        <v>45649</v>
      </c>
      <c r="B33" s="2">
        <v>5284</v>
      </c>
    </row>
    <row r="34" spans="1:2" x14ac:dyDescent="0.3">
      <c r="A34" s="4">
        <v>45656</v>
      </c>
      <c r="B34" s="2">
        <v>7075</v>
      </c>
    </row>
    <row r="35" spans="1:2" x14ac:dyDescent="0.3">
      <c r="A35" s="4">
        <v>45663</v>
      </c>
      <c r="B35" s="2">
        <v>4353</v>
      </c>
    </row>
    <row r="36" spans="1:2" x14ac:dyDescent="0.3">
      <c r="A36" s="4">
        <v>45670</v>
      </c>
      <c r="B36" s="2">
        <v>3955</v>
      </c>
    </row>
    <row r="37" spans="1:2" x14ac:dyDescent="0.3">
      <c r="A37" s="4">
        <v>45677</v>
      </c>
      <c r="B37" s="2">
        <v>4617</v>
      </c>
    </row>
    <row r="38" spans="1:2" x14ac:dyDescent="0.3">
      <c r="A38" s="4">
        <v>45684</v>
      </c>
      <c r="B38" s="2">
        <v>4276</v>
      </c>
    </row>
    <row r="39" spans="1:2" x14ac:dyDescent="0.3">
      <c r="A39" s="4">
        <v>45691</v>
      </c>
      <c r="B39" s="2">
        <v>3794</v>
      </c>
    </row>
    <row r="40" spans="1:2" x14ac:dyDescent="0.3">
      <c r="A40" s="4">
        <v>45698</v>
      </c>
      <c r="B40" s="2">
        <v>6545</v>
      </c>
    </row>
    <row r="41" spans="1:2" x14ac:dyDescent="0.3">
      <c r="A41" s="4">
        <v>45705</v>
      </c>
      <c r="B41" s="2">
        <v>5057</v>
      </c>
    </row>
    <row r="42" spans="1:2" x14ac:dyDescent="0.3">
      <c r="A42" s="4">
        <v>45712</v>
      </c>
      <c r="B42" s="2">
        <v>5248</v>
      </c>
    </row>
    <row r="43" spans="1:2" x14ac:dyDescent="0.3">
      <c r="A43" s="4">
        <v>45719</v>
      </c>
      <c r="B43" s="2">
        <v>3172</v>
      </c>
    </row>
    <row r="44" spans="1:2" x14ac:dyDescent="0.3">
      <c r="A44" s="4">
        <v>45726</v>
      </c>
      <c r="B44" s="2">
        <v>4548</v>
      </c>
    </row>
    <row r="45" spans="1:2" x14ac:dyDescent="0.3">
      <c r="A45" s="4">
        <v>45733</v>
      </c>
      <c r="B45" s="2">
        <v>5133</v>
      </c>
    </row>
    <row r="46" spans="1:2" x14ac:dyDescent="0.3">
      <c r="A46" s="4">
        <v>45740</v>
      </c>
      <c r="B46" s="2">
        <v>1905</v>
      </c>
    </row>
    <row r="47" spans="1:2" x14ac:dyDescent="0.3">
      <c r="A47" s="4">
        <v>45747</v>
      </c>
      <c r="B47" s="2">
        <v>5924</v>
      </c>
    </row>
    <row r="48" spans="1:2" x14ac:dyDescent="0.3">
      <c r="A48" s="4">
        <v>45754</v>
      </c>
      <c r="B48" s="2">
        <v>3921</v>
      </c>
    </row>
    <row r="49" spans="1:2" x14ac:dyDescent="0.3">
      <c r="A49" s="4">
        <v>45761</v>
      </c>
      <c r="B49" s="2">
        <v>1269</v>
      </c>
    </row>
    <row r="50" spans="1:2" x14ac:dyDescent="0.3">
      <c r="A50" s="4">
        <v>45768</v>
      </c>
      <c r="B50" s="2">
        <v>5190</v>
      </c>
    </row>
    <row r="51" spans="1:2" x14ac:dyDescent="0.3">
      <c r="A51" s="4">
        <v>45775</v>
      </c>
      <c r="B51" s="2">
        <v>4525</v>
      </c>
    </row>
    <row r="52" spans="1:2" x14ac:dyDescent="0.3">
      <c r="A52" s="4">
        <v>45782</v>
      </c>
      <c r="B52" s="2">
        <v>4978</v>
      </c>
    </row>
    <row r="53" spans="1:2" x14ac:dyDescent="0.3">
      <c r="A53" s="4">
        <v>45789</v>
      </c>
      <c r="B53" s="2">
        <v>3058</v>
      </c>
    </row>
    <row r="54" spans="1:2" x14ac:dyDescent="0.3">
      <c r="A54" s="5" t="s">
        <v>12</v>
      </c>
      <c r="B54" s="2"/>
    </row>
    <row r="55" spans="1:2" x14ac:dyDescent="0.3">
      <c r="A55" s="5" t="s">
        <v>13</v>
      </c>
      <c r="B55" s="2">
        <v>210128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85FE-E24F-4A14-B7E4-EBE0A89D58A4}">
  <dimension ref="A1:H51"/>
  <sheetViews>
    <sheetView tabSelected="1" workbookViewId="0">
      <selection activeCell="H9" sqref="H9"/>
    </sheetView>
  </sheetViews>
  <sheetFormatPr defaultRowHeight="14.4" x14ac:dyDescent="0.3"/>
  <cols>
    <col min="1" max="1" width="16.33203125" bestFit="1" customWidth="1"/>
    <col min="2" max="2" width="13.77734375" bestFit="1" customWidth="1"/>
    <col min="3" max="3" width="16.21875" bestFit="1" customWidth="1"/>
    <col min="4" max="4" width="10" bestFit="1" customWidth="1"/>
    <col min="7" max="7" width="18.88671875" bestFit="1" customWidth="1"/>
    <col min="8" max="8" width="23.6640625" bestFit="1" customWidth="1"/>
  </cols>
  <sheetData>
    <row r="1" spans="1:8" x14ac:dyDescent="0.3">
      <c r="A1" t="s">
        <v>16</v>
      </c>
      <c r="B1" t="s">
        <v>2</v>
      </c>
      <c r="C1" t="s">
        <v>17</v>
      </c>
    </row>
    <row r="2" spans="1:8" x14ac:dyDescent="0.3">
      <c r="A2" s="4">
        <v>45446</v>
      </c>
      <c r="B2" s="2">
        <v>4566</v>
      </c>
      <c r="C2" s="2">
        <v>72893</v>
      </c>
    </row>
    <row r="3" spans="1:8" x14ac:dyDescent="0.3">
      <c r="A3" s="4">
        <v>45453</v>
      </c>
      <c r="B3" s="2">
        <v>3986</v>
      </c>
      <c r="C3" s="2">
        <v>47961</v>
      </c>
    </row>
    <row r="4" spans="1:8" x14ac:dyDescent="0.3">
      <c r="A4" s="4">
        <v>45460</v>
      </c>
      <c r="B4" s="2">
        <v>4539</v>
      </c>
      <c r="C4" s="2">
        <v>104794</v>
      </c>
    </row>
    <row r="5" spans="1:8" x14ac:dyDescent="0.3">
      <c r="A5" s="4">
        <v>45467</v>
      </c>
      <c r="B5" s="2">
        <v>4236</v>
      </c>
      <c r="C5" s="2">
        <v>81748</v>
      </c>
    </row>
    <row r="6" spans="1:8" x14ac:dyDescent="0.3">
      <c r="A6" s="4">
        <v>45474</v>
      </c>
      <c r="B6" s="2">
        <v>2295</v>
      </c>
      <c r="C6" s="2">
        <v>87847</v>
      </c>
    </row>
    <row r="7" spans="1:8" x14ac:dyDescent="0.3">
      <c r="A7" s="4">
        <v>45481</v>
      </c>
      <c r="B7" s="2">
        <v>3977</v>
      </c>
      <c r="C7" s="2">
        <v>79341</v>
      </c>
    </row>
    <row r="8" spans="1:8" x14ac:dyDescent="0.3">
      <c r="A8" s="4">
        <v>45488</v>
      </c>
      <c r="B8" s="2">
        <v>3058</v>
      </c>
      <c r="C8" s="2">
        <v>115027</v>
      </c>
    </row>
    <row r="9" spans="1:8" ht="25.8" x14ac:dyDescent="0.5">
      <c r="A9" s="4">
        <v>45495</v>
      </c>
      <c r="B9" s="2">
        <v>4404</v>
      </c>
      <c r="C9" s="2">
        <v>102610</v>
      </c>
      <c r="G9" s="6" t="s">
        <v>18</v>
      </c>
      <c r="H9" s="6">
        <f>CORREL(B2:B51,C2:C51)</f>
        <v>-5.1737297725708051E-2</v>
      </c>
    </row>
    <row r="10" spans="1:8" x14ac:dyDescent="0.3">
      <c r="A10" s="4">
        <v>45502</v>
      </c>
      <c r="B10" s="2">
        <v>3145</v>
      </c>
      <c r="C10" s="2">
        <v>76268</v>
      </c>
    </row>
    <row r="11" spans="1:8" x14ac:dyDescent="0.3">
      <c r="A11" s="4">
        <v>45509</v>
      </c>
      <c r="B11" s="2">
        <v>2145</v>
      </c>
      <c r="C11" s="2">
        <v>137514</v>
      </c>
    </row>
    <row r="12" spans="1:8" x14ac:dyDescent="0.3">
      <c r="A12" s="4">
        <v>45516</v>
      </c>
      <c r="B12" s="2">
        <v>4757</v>
      </c>
      <c r="C12" s="2">
        <v>125177</v>
      </c>
    </row>
    <row r="13" spans="1:8" x14ac:dyDescent="0.3">
      <c r="A13" s="4">
        <v>45523</v>
      </c>
      <c r="B13" s="2">
        <v>3265</v>
      </c>
      <c r="C13" s="2">
        <v>82193</v>
      </c>
    </row>
    <row r="14" spans="1:8" x14ac:dyDescent="0.3">
      <c r="A14" s="4">
        <v>45530</v>
      </c>
      <c r="B14" s="2">
        <v>3655</v>
      </c>
      <c r="C14" s="2">
        <v>94709</v>
      </c>
    </row>
    <row r="15" spans="1:8" x14ac:dyDescent="0.3">
      <c r="A15" s="4">
        <v>45537</v>
      </c>
      <c r="B15" s="2">
        <v>4234</v>
      </c>
      <c r="C15" s="2">
        <v>100656</v>
      </c>
    </row>
    <row r="16" spans="1:8" x14ac:dyDescent="0.3">
      <c r="A16" s="4">
        <v>45544</v>
      </c>
      <c r="B16" s="2">
        <v>5594</v>
      </c>
      <c r="C16" s="2">
        <v>92834</v>
      </c>
    </row>
    <row r="17" spans="1:3" x14ac:dyDescent="0.3">
      <c r="A17" s="4">
        <v>45551</v>
      </c>
      <c r="B17" s="2">
        <v>2816</v>
      </c>
      <c r="C17" s="2">
        <v>105113</v>
      </c>
    </row>
    <row r="18" spans="1:3" x14ac:dyDescent="0.3">
      <c r="A18" s="4">
        <v>45558</v>
      </c>
      <c r="B18" s="2">
        <v>4144</v>
      </c>
      <c r="C18" s="2">
        <v>75885</v>
      </c>
    </row>
    <row r="19" spans="1:3" x14ac:dyDescent="0.3">
      <c r="A19" s="4">
        <v>45565</v>
      </c>
      <c r="B19" s="2">
        <v>4353</v>
      </c>
      <c r="C19" s="2">
        <v>81889</v>
      </c>
    </row>
    <row r="20" spans="1:3" x14ac:dyDescent="0.3">
      <c r="A20" s="4">
        <v>45572</v>
      </c>
      <c r="B20" s="2">
        <v>4612</v>
      </c>
      <c r="C20" s="2">
        <v>117382</v>
      </c>
    </row>
    <row r="21" spans="1:3" x14ac:dyDescent="0.3">
      <c r="A21" s="4">
        <v>45579</v>
      </c>
      <c r="B21" s="2">
        <v>2785</v>
      </c>
      <c r="C21" s="2">
        <v>83598</v>
      </c>
    </row>
    <row r="22" spans="1:3" x14ac:dyDescent="0.3">
      <c r="A22" s="4">
        <v>45586</v>
      </c>
      <c r="B22" s="2">
        <v>3615</v>
      </c>
      <c r="C22" s="2">
        <v>140831</v>
      </c>
    </row>
    <row r="23" spans="1:3" x14ac:dyDescent="0.3">
      <c r="A23" s="4">
        <v>45593</v>
      </c>
      <c r="B23" s="2">
        <v>3506</v>
      </c>
      <c r="C23" s="2">
        <v>105800</v>
      </c>
    </row>
    <row r="24" spans="1:3" x14ac:dyDescent="0.3">
      <c r="A24" s="4">
        <v>45600</v>
      </c>
      <c r="B24" s="2">
        <v>5741</v>
      </c>
      <c r="C24" s="2">
        <v>94018</v>
      </c>
    </row>
    <row r="25" spans="1:3" x14ac:dyDescent="0.3">
      <c r="A25" s="4">
        <v>45607</v>
      </c>
      <c r="B25" s="2">
        <v>3187</v>
      </c>
      <c r="C25" s="2">
        <v>125961</v>
      </c>
    </row>
    <row r="26" spans="1:3" x14ac:dyDescent="0.3">
      <c r="A26" s="4">
        <v>45614</v>
      </c>
      <c r="B26" s="2">
        <v>1606</v>
      </c>
      <c r="C26" s="2">
        <v>97294</v>
      </c>
    </row>
    <row r="27" spans="1:3" x14ac:dyDescent="0.3">
      <c r="A27" s="4">
        <v>45621</v>
      </c>
      <c r="B27" s="2">
        <v>5187</v>
      </c>
      <c r="C27" s="2">
        <v>107714</v>
      </c>
    </row>
    <row r="28" spans="1:3" x14ac:dyDescent="0.3">
      <c r="A28" s="4">
        <v>45628</v>
      </c>
      <c r="B28" s="2">
        <v>5491</v>
      </c>
      <c r="C28" s="2">
        <v>106549</v>
      </c>
    </row>
    <row r="29" spans="1:3" x14ac:dyDescent="0.3">
      <c r="A29" s="4">
        <v>45635</v>
      </c>
      <c r="B29" s="2">
        <v>5681</v>
      </c>
      <c r="C29" s="2">
        <v>108811</v>
      </c>
    </row>
    <row r="30" spans="1:3" x14ac:dyDescent="0.3">
      <c r="A30" s="4">
        <v>45642</v>
      </c>
      <c r="B30" s="2">
        <v>5721</v>
      </c>
      <c r="C30" s="2">
        <v>102222</v>
      </c>
    </row>
    <row r="31" spans="1:3" x14ac:dyDescent="0.3">
      <c r="A31" s="4">
        <v>45649</v>
      </c>
      <c r="B31" s="2">
        <v>5284</v>
      </c>
      <c r="C31" s="2">
        <v>101698</v>
      </c>
    </row>
    <row r="32" spans="1:3" x14ac:dyDescent="0.3">
      <c r="A32" s="4">
        <v>45656</v>
      </c>
      <c r="B32" s="2">
        <v>7075</v>
      </c>
      <c r="C32" s="2">
        <v>78502</v>
      </c>
    </row>
    <row r="33" spans="1:3" x14ac:dyDescent="0.3">
      <c r="A33" s="4">
        <v>45663</v>
      </c>
      <c r="B33" s="2">
        <v>4353</v>
      </c>
      <c r="C33" s="2">
        <v>72926</v>
      </c>
    </row>
    <row r="34" spans="1:3" x14ac:dyDescent="0.3">
      <c r="A34" s="4">
        <v>45670</v>
      </c>
      <c r="B34" s="2">
        <v>3955</v>
      </c>
      <c r="C34" s="2">
        <v>113474</v>
      </c>
    </row>
    <row r="35" spans="1:3" x14ac:dyDescent="0.3">
      <c r="A35" s="4">
        <v>45677</v>
      </c>
      <c r="B35" s="2">
        <v>4617</v>
      </c>
      <c r="C35" s="2">
        <v>120060</v>
      </c>
    </row>
    <row r="36" spans="1:3" x14ac:dyDescent="0.3">
      <c r="A36" s="4">
        <v>45684</v>
      </c>
      <c r="B36" s="2">
        <v>4276</v>
      </c>
      <c r="C36" s="2">
        <v>109203</v>
      </c>
    </row>
    <row r="37" spans="1:3" x14ac:dyDescent="0.3">
      <c r="A37" s="4">
        <v>45691</v>
      </c>
      <c r="B37" s="2">
        <v>3794</v>
      </c>
      <c r="C37" s="2">
        <v>117419</v>
      </c>
    </row>
    <row r="38" spans="1:3" x14ac:dyDescent="0.3">
      <c r="A38" s="4">
        <v>45698</v>
      </c>
      <c r="B38" s="2">
        <v>6545</v>
      </c>
      <c r="C38" s="2">
        <v>94129</v>
      </c>
    </row>
    <row r="39" spans="1:3" x14ac:dyDescent="0.3">
      <c r="A39" s="4">
        <v>45705</v>
      </c>
      <c r="B39" s="2">
        <v>5057</v>
      </c>
      <c r="C39" s="2">
        <v>136582</v>
      </c>
    </row>
    <row r="40" spans="1:3" x14ac:dyDescent="0.3">
      <c r="A40" s="4">
        <v>45712</v>
      </c>
      <c r="B40" s="2">
        <v>5248</v>
      </c>
      <c r="C40" s="2">
        <v>120234</v>
      </c>
    </row>
    <row r="41" spans="1:3" x14ac:dyDescent="0.3">
      <c r="A41" s="4">
        <v>45719</v>
      </c>
      <c r="B41" s="2">
        <v>3172</v>
      </c>
      <c r="C41" s="2">
        <v>95341</v>
      </c>
    </row>
    <row r="42" spans="1:3" x14ac:dyDescent="0.3">
      <c r="A42" s="4">
        <v>45726</v>
      </c>
      <c r="B42" s="2">
        <v>4548</v>
      </c>
      <c r="C42" s="2">
        <v>53940</v>
      </c>
    </row>
    <row r="43" spans="1:3" x14ac:dyDescent="0.3">
      <c r="A43" s="4">
        <v>45733</v>
      </c>
      <c r="B43" s="2">
        <v>5133</v>
      </c>
      <c r="C43" s="2">
        <v>88465</v>
      </c>
    </row>
    <row r="44" spans="1:3" x14ac:dyDescent="0.3">
      <c r="A44" s="4">
        <v>45740</v>
      </c>
      <c r="B44" s="2">
        <v>1905</v>
      </c>
      <c r="C44" s="2">
        <v>111650</v>
      </c>
    </row>
    <row r="45" spans="1:3" x14ac:dyDescent="0.3">
      <c r="A45" s="4">
        <v>45747</v>
      </c>
      <c r="B45" s="2">
        <v>5924</v>
      </c>
      <c r="C45" s="2">
        <v>74375</v>
      </c>
    </row>
    <row r="46" spans="1:3" x14ac:dyDescent="0.3">
      <c r="A46" s="4">
        <v>45754</v>
      </c>
      <c r="B46" s="2">
        <v>3921</v>
      </c>
      <c r="C46" s="2">
        <v>132926</v>
      </c>
    </row>
    <row r="47" spans="1:3" x14ac:dyDescent="0.3">
      <c r="A47" s="4">
        <v>45761</v>
      </c>
      <c r="B47" s="2">
        <v>1269</v>
      </c>
      <c r="C47" s="2">
        <v>59981</v>
      </c>
    </row>
    <row r="48" spans="1:3" x14ac:dyDescent="0.3">
      <c r="A48" s="4">
        <v>45768</v>
      </c>
      <c r="B48" s="2">
        <v>5190</v>
      </c>
      <c r="C48" s="2">
        <v>49129</v>
      </c>
    </row>
    <row r="49" spans="1:3" x14ac:dyDescent="0.3">
      <c r="A49" s="4">
        <v>45775</v>
      </c>
      <c r="B49" s="2">
        <v>4525</v>
      </c>
      <c r="C49" s="2">
        <v>57130</v>
      </c>
    </row>
    <row r="50" spans="1:3" x14ac:dyDescent="0.3">
      <c r="A50" s="4">
        <v>45782</v>
      </c>
      <c r="B50" s="2">
        <v>4978</v>
      </c>
      <c r="C50" s="2">
        <v>105490</v>
      </c>
    </row>
    <row r="51" spans="1:3" x14ac:dyDescent="0.3">
      <c r="A51" s="4">
        <v>45789</v>
      </c>
      <c r="B51" s="2">
        <v>3058</v>
      </c>
      <c r="C51" s="2">
        <v>85623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3D95-768F-4378-BA81-39E7EA690404}">
  <dimension ref="A1:H201"/>
  <sheetViews>
    <sheetView workbookViewId="0">
      <selection activeCell="G1" sqref="G1"/>
    </sheetView>
  </sheetViews>
  <sheetFormatPr defaultRowHeight="14.4" x14ac:dyDescent="0.3"/>
  <cols>
    <col min="1" max="1" width="18" bestFit="1" customWidth="1"/>
    <col min="3" max="3" width="10.5546875" bestFit="1" customWidth="1"/>
    <col min="4" max="4" width="16" bestFit="1" customWidth="1"/>
    <col min="5" max="5" width="11.6640625" bestFit="1" customWidth="1"/>
    <col min="6" max="6" width="16.44140625" bestFit="1" customWidth="1"/>
    <col min="7" max="7" width="18.6640625" bestFit="1" customWidth="1"/>
    <col min="8" max="8" width="13.77734375" bestFit="1" customWidth="1"/>
    <col min="9" max="9" width="11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</row>
    <row r="2" spans="1:8" x14ac:dyDescent="0.3">
      <c r="A2" s="1">
        <v>45782</v>
      </c>
      <c r="B2" s="2" t="s">
        <v>7</v>
      </c>
      <c r="C2">
        <v>1957</v>
      </c>
      <c r="D2">
        <v>76</v>
      </c>
      <c r="E2">
        <v>447902</v>
      </c>
      <c r="F2">
        <v>6.09</v>
      </c>
      <c r="G2">
        <f>C2-D2</f>
        <v>1881</v>
      </c>
      <c r="H2">
        <v>33381</v>
      </c>
    </row>
    <row r="3" spans="1:8" x14ac:dyDescent="0.3">
      <c r="A3" s="1">
        <v>45572</v>
      </c>
      <c r="B3" s="2" t="s">
        <v>7</v>
      </c>
      <c r="C3">
        <v>1939</v>
      </c>
      <c r="D3">
        <v>67</v>
      </c>
      <c r="E3">
        <v>187183</v>
      </c>
      <c r="F3">
        <v>6.25</v>
      </c>
      <c r="G3">
        <f>C3-D3</f>
        <v>1872</v>
      </c>
      <c r="H3">
        <v>41215</v>
      </c>
    </row>
    <row r="4" spans="1:8" x14ac:dyDescent="0.3">
      <c r="A4" s="1">
        <v>45488</v>
      </c>
      <c r="B4" s="2" t="s">
        <v>7</v>
      </c>
      <c r="C4">
        <v>1960</v>
      </c>
      <c r="D4">
        <v>115</v>
      </c>
      <c r="E4">
        <v>154169</v>
      </c>
      <c r="F4">
        <v>3.74</v>
      </c>
      <c r="G4">
        <f>C4-D4</f>
        <v>1845</v>
      </c>
      <c r="H4">
        <v>10740</v>
      </c>
    </row>
    <row r="5" spans="1:8" x14ac:dyDescent="0.3">
      <c r="A5" s="1">
        <v>45656</v>
      </c>
      <c r="B5" s="2" t="s">
        <v>8</v>
      </c>
      <c r="C5">
        <v>1980</v>
      </c>
      <c r="D5">
        <v>204</v>
      </c>
      <c r="E5">
        <v>379431</v>
      </c>
      <c r="F5">
        <v>3.09</v>
      </c>
      <c r="G5">
        <f>C5-D5</f>
        <v>1776</v>
      </c>
      <c r="H5">
        <v>25140</v>
      </c>
    </row>
    <row r="6" spans="1:8" x14ac:dyDescent="0.3">
      <c r="A6" s="1">
        <v>45656</v>
      </c>
      <c r="B6" s="2" t="s">
        <v>7</v>
      </c>
      <c r="C6">
        <v>1814</v>
      </c>
      <c r="D6">
        <v>49</v>
      </c>
      <c r="E6">
        <v>140804</v>
      </c>
      <c r="F6">
        <v>1.76</v>
      </c>
      <c r="G6">
        <f>C6-D6</f>
        <v>1765</v>
      </c>
      <c r="H6">
        <v>4313</v>
      </c>
    </row>
    <row r="7" spans="1:8" x14ac:dyDescent="0.3">
      <c r="A7" s="1">
        <v>45635</v>
      </c>
      <c r="B7" s="2" t="s">
        <v>9</v>
      </c>
      <c r="C7">
        <v>1937</v>
      </c>
      <c r="D7">
        <v>210</v>
      </c>
      <c r="E7">
        <v>20607</v>
      </c>
      <c r="F7">
        <v>4.2</v>
      </c>
      <c r="G7">
        <f>C7-D7</f>
        <v>1727</v>
      </c>
      <c r="H7">
        <v>20861</v>
      </c>
    </row>
    <row r="8" spans="1:8" x14ac:dyDescent="0.3">
      <c r="A8" s="1">
        <v>45698</v>
      </c>
      <c r="B8" s="2" t="s">
        <v>7</v>
      </c>
      <c r="C8">
        <v>1957</v>
      </c>
      <c r="D8">
        <v>234</v>
      </c>
      <c r="E8">
        <v>222126</v>
      </c>
      <c r="F8">
        <v>4.6100000000000003</v>
      </c>
      <c r="G8">
        <f>C8-D8</f>
        <v>1723</v>
      </c>
      <c r="H8">
        <v>3314</v>
      </c>
    </row>
    <row r="9" spans="1:8" x14ac:dyDescent="0.3">
      <c r="A9" s="1">
        <v>45670</v>
      </c>
      <c r="B9" s="2" t="s">
        <v>7</v>
      </c>
      <c r="C9">
        <v>1855</v>
      </c>
      <c r="D9">
        <v>133</v>
      </c>
      <c r="E9">
        <v>349413</v>
      </c>
      <c r="F9">
        <v>3.3</v>
      </c>
      <c r="G9">
        <f>C9-D9</f>
        <v>1722</v>
      </c>
      <c r="H9">
        <v>14548</v>
      </c>
    </row>
    <row r="10" spans="1:8" x14ac:dyDescent="0.3">
      <c r="A10" s="1">
        <v>45712</v>
      </c>
      <c r="B10" s="2" t="s">
        <v>8</v>
      </c>
      <c r="C10">
        <v>1884</v>
      </c>
      <c r="D10">
        <v>177</v>
      </c>
      <c r="E10">
        <v>230448</v>
      </c>
      <c r="F10">
        <v>7.8</v>
      </c>
      <c r="G10">
        <f>C10-D10</f>
        <v>1707</v>
      </c>
      <c r="H10">
        <v>22713</v>
      </c>
    </row>
    <row r="11" spans="1:8" x14ac:dyDescent="0.3">
      <c r="A11" s="1">
        <v>45565</v>
      </c>
      <c r="B11" s="2" t="s">
        <v>10</v>
      </c>
      <c r="C11">
        <v>1918</v>
      </c>
      <c r="D11">
        <v>212</v>
      </c>
      <c r="E11">
        <v>94360</v>
      </c>
      <c r="F11">
        <v>7.36</v>
      </c>
      <c r="G11">
        <f>C11-D11</f>
        <v>1706</v>
      </c>
      <c r="H11">
        <v>36851</v>
      </c>
    </row>
    <row r="12" spans="1:8" x14ac:dyDescent="0.3">
      <c r="A12" s="1">
        <v>45628</v>
      </c>
      <c r="B12" s="2" t="s">
        <v>8</v>
      </c>
      <c r="C12">
        <v>1902</v>
      </c>
      <c r="D12">
        <v>196</v>
      </c>
      <c r="E12">
        <v>470269</v>
      </c>
      <c r="F12">
        <v>4.79</v>
      </c>
      <c r="G12">
        <f>C12-D12</f>
        <v>1706</v>
      </c>
      <c r="H12">
        <v>26103</v>
      </c>
    </row>
    <row r="13" spans="1:8" x14ac:dyDescent="0.3">
      <c r="A13" s="1">
        <v>45621</v>
      </c>
      <c r="B13" s="2" t="s">
        <v>7</v>
      </c>
      <c r="C13">
        <v>1854</v>
      </c>
      <c r="D13">
        <v>161</v>
      </c>
      <c r="E13">
        <v>282466</v>
      </c>
      <c r="F13">
        <v>5.17</v>
      </c>
      <c r="G13">
        <f>C13-D13</f>
        <v>1693</v>
      </c>
      <c r="H13">
        <v>1810</v>
      </c>
    </row>
    <row r="14" spans="1:8" x14ac:dyDescent="0.3">
      <c r="A14" s="1">
        <v>45558</v>
      </c>
      <c r="B14" s="2" t="s">
        <v>9</v>
      </c>
      <c r="C14">
        <v>1911</v>
      </c>
      <c r="D14">
        <v>231</v>
      </c>
      <c r="E14">
        <v>268516</v>
      </c>
      <c r="F14">
        <v>8.5500000000000007</v>
      </c>
      <c r="G14">
        <f>C14-D14</f>
        <v>1680</v>
      </c>
      <c r="H14">
        <v>24018</v>
      </c>
    </row>
    <row r="15" spans="1:8" x14ac:dyDescent="0.3">
      <c r="A15" s="1">
        <v>45747</v>
      </c>
      <c r="B15" s="2" t="s">
        <v>9</v>
      </c>
      <c r="C15">
        <v>1946</v>
      </c>
      <c r="D15">
        <v>270</v>
      </c>
      <c r="E15">
        <v>198350</v>
      </c>
      <c r="F15">
        <v>7.5</v>
      </c>
      <c r="G15">
        <f>C15-D15</f>
        <v>1676</v>
      </c>
      <c r="H15">
        <v>11805</v>
      </c>
    </row>
    <row r="16" spans="1:8" x14ac:dyDescent="0.3">
      <c r="A16" s="1">
        <v>45481</v>
      </c>
      <c r="B16" s="2" t="s">
        <v>7</v>
      </c>
      <c r="C16">
        <v>1757</v>
      </c>
      <c r="D16">
        <v>85</v>
      </c>
      <c r="E16">
        <v>58223</v>
      </c>
      <c r="F16">
        <v>8.74</v>
      </c>
      <c r="G16">
        <f>C16-D16</f>
        <v>1672</v>
      </c>
      <c r="H16">
        <v>22728</v>
      </c>
    </row>
    <row r="17" spans="1:8" x14ac:dyDescent="0.3">
      <c r="A17" s="1">
        <v>45467</v>
      </c>
      <c r="B17" s="2" t="s">
        <v>8</v>
      </c>
      <c r="C17">
        <v>1779</v>
      </c>
      <c r="D17">
        <v>109</v>
      </c>
      <c r="E17">
        <v>26295</v>
      </c>
      <c r="F17">
        <v>9.1199999999999992</v>
      </c>
      <c r="G17">
        <f>C17-D17</f>
        <v>1670</v>
      </c>
      <c r="H17">
        <v>30635</v>
      </c>
    </row>
    <row r="18" spans="1:8" x14ac:dyDescent="0.3">
      <c r="A18" s="1">
        <v>45523</v>
      </c>
      <c r="B18" s="2" t="s">
        <v>9</v>
      </c>
      <c r="C18">
        <v>1751</v>
      </c>
      <c r="D18">
        <v>86</v>
      </c>
      <c r="E18">
        <v>188655</v>
      </c>
      <c r="F18">
        <v>7.24</v>
      </c>
      <c r="G18">
        <f>C18-D18</f>
        <v>1665</v>
      </c>
      <c r="H18">
        <v>22206</v>
      </c>
    </row>
    <row r="19" spans="1:8" x14ac:dyDescent="0.3">
      <c r="A19" s="1">
        <v>45572</v>
      </c>
      <c r="B19" s="2" t="s">
        <v>8</v>
      </c>
      <c r="C19">
        <v>1929</v>
      </c>
      <c r="D19">
        <v>267</v>
      </c>
      <c r="E19">
        <v>379363</v>
      </c>
      <c r="F19">
        <v>1.75</v>
      </c>
      <c r="G19">
        <f>C19-D19</f>
        <v>1662</v>
      </c>
      <c r="H19">
        <v>43836</v>
      </c>
    </row>
    <row r="20" spans="1:8" x14ac:dyDescent="0.3">
      <c r="A20" s="1">
        <v>45593</v>
      </c>
      <c r="B20" s="2" t="s">
        <v>10</v>
      </c>
      <c r="C20">
        <v>1814</v>
      </c>
      <c r="D20">
        <v>157</v>
      </c>
      <c r="E20">
        <v>305827</v>
      </c>
      <c r="F20">
        <v>1.99</v>
      </c>
      <c r="G20">
        <f>C20-D20</f>
        <v>1657</v>
      </c>
      <c r="H20">
        <v>46643</v>
      </c>
    </row>
    <row r="21" spans="1:8" x14ac:dyDescent="0.3">
      <c r="A21" s="1">
        <v>45789</v>
      </c>
      <c r="B21" s="2" t="s">
        <v>7</v>
      </c>
      <c r="C21">
        <v>1765</v>
      </c>
      <c r="D21">
        <v>109</v>
      </c>
      <c r="E21">
        <v>468301</v>
      </c>
      <c r="F21">
        <v>1.82</v>
      </c>
      <c r="G21">
        <f>C21-D21</f>
        <v>1656</v>
      </c>
      <c r="H21">
        <v>20042</v>
      </c>
    </row>
    <row r="22" spans="1:8" x14ac:dyDescent="0.3">
      <c r="A22" s="1">
        <v>45768</v>
      </c>
      <c r="B22" s="2" t="s">
        <v>10</v>
      </c>
      <c r="C22">
        <v>1707</v>
      </c>
      <c r="D22">
        <v>74</v>
      </c>
      <c r="E22">
        <v>270958</v>
      </c>
      <c r="F22">
        <v>3.09</v>
      </c>
      <c r="G22">
        <f>C22-D22</f>
        <v>1633</v>
      </c>
      <c r="H22">
        <v>14090</v>
      </c>
    </row>
    <row r="23" spans="1:8" x14ac:dyDescent="0.3">
      <c r="A23" s="1">
        <v>45628</v>
      </c>
      <c r="B23" s="2" t="s">
        <v>7</v>
      </c>
      <c r="C23">
        <v>1696</v>
      </c>
      <c r="D23">
        <v>71</v>
      </c>
      <c r="E23">
        <v>421957</v>
      </c>
      <c r="F23">
        <v>3.79</v>
      </c>
      <c r="G23">
        <f>C23-D23</f>
        <v>1625</v>
      </c>
      <c r="H23">
        <v>36103</v>
      </c>
    </row>
    <row r="24" spans="1:8" x14ac:dyDescent="0.3">
      <c r="A24" s="1">
        <v>45530</v>
      </c>
      <c r="B24" s="2" t="s">
        <v>7</v>
      </c>
      <c r="C24">
        <v>1685</v>
      </c>
      <c r="D24">
        <v>76</v>
      </c>
      <c r="E24">
        <v>453799</v>
      </c>
      <c r="F24">
        <v>5.71</v>
      </c>
      <c r="G24">
        <f>C24-D24</f>
        <v>1609</v>
      </c>
      <c r="H24">
        <v>24913</v>
      </c>
    </row>
    <row r="25" spans="1:8" x14ac:dyDescent="0.3">
      <c r="A25" s="1">
        <v>45600</v>
      </c>
      <c r="B25" s="2" t="s">
        <v>9</v>
      </c>
      <c r="C25">
        <v>1821</v>
      </c>
      <c r="D25">
        <v>218</v>
      </c>
      <c r="E25">
        <v>439080</v>
      </c>
      <c r="F25">
        <v>5.68</v>
      </c>
      <c r="G25">
        <f>C25-D25</f>
        <v>1603</v>
      </c>
      <c r="H25">
        <v>36095</v>
      </c>
    </row>
    <row r="26" spans="1:8" x14ac:dyDescent="0.3">
      <c r="A26" s="1">
        <v>45705</v>
      </c>
      <c r="B26" s="2" t="s">
        <v>8</v>
      </c>
      <c r="C26">
        <v>1895</v>
      </c>
      <c r="D26">
        <v>305</v>
      </c>
      <c r="E26">
        <v>104967</v>
      </c>
      <c r="F26">
        <v>3.85</v>
      </c>
      <c r="G26">
        <f>C26-D26</f>
        <v>1590</v>
      </c>
      <c r="H26">
        <v>31853</v>
      </c>
    </row>
    <row r="27" spans="1:8" x14ac:dyDescent="0.3">
      <c r="A27" s="1">
        <v>45649</v>
      </c>
      <c r="B27" s="2" t="s">
        <v>10</v>
      </c>
      <c r="C27">
        <v>1900</v>
      </c>
      <c r="D27">
        <v>311</v>
      </c>
      <c r="E27">
        <v>25177</v>
      </c>
      <c r="F27">
        <v>2.89</v>
      </c>
      <c r="G27">
        <f>C27-D27</f>
        <v>1589</v>
      </c>
      <c r="H27">
        <v>14154</v>
      </c>
    </row>
    <row r="28" spans="1:8" x14ac:dyDescent="0.3">
      <c r="A28" s="1">
        <v>45544</v>
      </c>
      <c r="B28" s="2" t="s">
        <v>7</v>
      </c>
      <c r="C28">
        <v>1592</v>
      </c>
      <c r="D28">
        <v>20</v>
      </c>
      <c r="E28">
        <v>378054</v>
      </c>
      <c r="F28">
        <v>9.09</v>
      </c>
      <c r="G28">
        <f>C28-D28</f>
        <v>1572</v>
      </c>
      <c r="H28">
        <v>26663</v>
      </c>
    </row>
    <row r="29" spans="1:8" x14ac:dyDescent="0.3">
      <c r="A29" s="1">
        <v>45677</v>
      </c>
      <c r="B29" s="2" t="s">
        <v>7</v>
      </c>
      <c r="C29">
        <v>1748</v>
      </c>
      <c r="D29">
        <v>176</v>
      </c>
      <c r="E29">
        <v>383681</v>
      </c>
      <c r="F29">
        <v>9.24</v>
      </c>
      <c r="G29">
        <f>C29-D29</f>
        <v>1572</v>
      </c>
      <c r="H29">
        <v>43122</v>
      </c>
    </row>
    <row r="30" spans="1:8" x14ac:dyDescent="0.3">
      <c r="A30" s="1">
        <v>45775</v>
      </c>
      <c r="B30" s="2" t="s">
        <v>7</v>
      </c>
      <c r="C30">
        <v>1693</v>
      </c>
      <c r="D30">
        <v>154</v>
      </c>
      <c r="E30">
        <v>445944</v>
      </c>
      <c r="F30">
        <v>5.69</v>
      </c>
      <c r="G30">
        <f>C30-D30</f>
        <v>1539</v>
      </c>
      <c r="H30">
        <v>14216</v>
      </c>
    </row>
    <row r="31" spans="1:8" x14ac:dyDescent="0.3">
      <c r="A31" s="1">
        <v>45656</v>
      </c>
      <c r="B31" s="2" t="s">
        <v>9</v>
      </c>
      <c r="C31">
        <v>1786</v>
      </c>
      <c r="D31">
        <v>257</v>
      </c>
      <c r="E31">
        <v>274831</v>
      </c>
      <c r="F31">
        <v>4.68</v>
      </c>
      <c r="G31">
        <f>C31-D31</f>
        <v>1529</v>
      </c>
      <c r="H31">
        <v>9118</v>
      </c>
    </row>
    <row r="32" spans="1:8" x14ac:dyDescent="0.3">
      <c r="A32" s="1">
        <v>45782</v>
      </c>
      <c r="B32" s="2" t="s">
        <v>9</v>
      </c>
      <c r="C32">
        <v>1581</v>
      </c>
      <c r="D32">
        <v>71</v>
      </c>
      <c r="E32">
        <v>484364</v>
      </c>
      <c r="F32">
        <v>3.55</v>
      </c>
      <c r="G32">
        <f>C32-D32</f>
        <v>1510</v>
      </c>
      <c r="H32">
        <v>16149</v>
      </c>
    </row>
    <row r="33" spans="1:8" x14ac:dyDescent="0.3">
      <c r="A33" s="1">
        <v>45502</v>
      </c>
      <c r="B33" s="2" t="s">
        <v>9</v>
      </c>
      <c r="C33">
        <v>1756</v>
      </c>
      <c r="D33">
        <v>261</v>
      </c>
      <c r="E33">
        <v>287574</v>
      </c>
      <c r="F33">
        <v>4.3600000000000003</v>
      </c>
      <c r="G33">
        <f>C33-D33</f>
        <v>1495</v>
      </c>
      <c r="H33">
        <v>39272</v>
      </c>
    </row>
    <row r="34" spans="1:8" x14ac:dyDescent="0.3">
      <c r="A34" s="1">
        <v>45586</v>
      </c>
      <c r="B34" s="2" t="s">
        <v>10</v>
      </c>
      <c r="C34">
        <v>1707</v>
      </c>
      <c r="D34">
        <v>223</v>
      </c>
      <c r="E34">
        <v>256910</v>
      </c>
      <c r="F34">
        <v>5.41</v>
      </c>
      <c r="G34">
        <f>C34-D34</f>
        <v>1484</v>
      </c>
      <c r="H34">
        <v>44321</v>
      </c>
    </row>
    <row r="35" spans="1:8" x14ac:dyDescent="0.3">
      <c r="A35" s="1">
        <v>45747</v>
      </c>
      <c r="B35" s="2" t="s">
        <v>10</v>
      </c>
      <c r="C35">
        <v>1957</v>
      </c>
      <c r="D35">
        <v>490</v>
      </c>
      <c r="E35">
        <v>435726</v>
      </c>
      <c r="F35">
        <v>4.7300000000000004</v>
      </c>
      <c r="G35">
        <f>C35-D35</f>
        <v>1467</v>
      </c>
      <c r="H35">
        <v>15969</v>
      </c>
    </row>
    <row r="36" spans="1:8" x14ac:dyDescent="0.3">
      <c r="A36" s="1">
        <v>45656</v>
      </c>
      <c r="B36" s="2" t="s">
        <v>10</v>
      </c>
      <c r="C36">
        <v>1495</v>
      </c>
      <c r="D36">
        <v>35</v>
      </c>
      <c r="E36">
        <v>136845</v>
      </c>
      <c r="F36">
        <v>4.4800000000000004</v>
      </c>
      <c r="G36">
        <f>C36-D36</f>
        <v>1460</v>
      </c>
      <c r="H36">
        <v>39931</v>
      </c>
    </row>
    <row r="37" spans="1:8" x14ac:dyDescent="0.3">
      <c r="A37" s="1">
        <v>45698</v>
      </c>
      <c r="B37" s="2" t="s">
        <v>10</v>
      </c>
      <c r="C37">
        <v>1707</v>
      </c>
      <c r="D37">
        <v>263</v>
      </c>
      <c r="E37">
        <v>485280</v>
      </c>
      <c r="F37">
        <v>9.0299999999999994</v>
      </c>
      <c r="G37">
        <f>C37-D37</f>
        <v>1444</v>
      </c>
      <c r="H37">
        <v>24494</v>
      </c>
    </row>
    <row r="38" spans="1:8" x14ac:dyDescent="0.3">
      <c r="A38" s="1">
        <v>45642</v>
      </c>
      <c r="B38" s="2" t="s">
        <v>7</v>
      </c>
      <c r="C38">
        <v>1502</v>
      </c>
      <c r="D38">
        <v>70</v>
      </c>
      <c r="E38">
        <v>465553</v>
      </c>
      <c r="F38">
        <v>3.32</v>
      </c>
      <c r="G38">
        <f>C38-D38</f>
        <v>1432</v>
      </c>
      <c r="H38">
        <v>20692</v>
      </c>
    </row>
    <row r="39" spans="1:8" x14ac:dyDescent="0.3">
      <c r="A39" s="1">
        <v>45544</v>
      </c>
      <c r="B39" s="2" t="s">
        <v>8</v>
      </c>
      <c r="C39">
        <v>1842</v>
      </c>
      <c r="D39">
        <v>414</v>
      </c>
      <c r="E39">
        <v>307524</v>
      </c>
      <c r="F39">
        <v>1.76</v>
      </c>
      <c r="G39">
        <f>C39-D39</f>
        <v>1428</v>
      </c>
      <c r="H39">
        <v>40478</v>
      </c>
    </row>
    <row r="40" spans="1:8" x14ac:dyDescent="0.3">
      <c r="A40" s="1">
        <v>45684</v>
      </c>
      <c r="B40" s="2" t="s">
        <v>9</v>
      </c>
      <c r="C40">
        <v>1501</v>
      </c>
      <c r="D40">
        <v>75</v>
      </c>
      <c r="E40">
        <v>262569</v>
      </c>
      <c r="F40">
        <v>2.0099999999999998</v>
      </c>
      <c r="G40">
        <f>C40-D40</f>
        <v>1426</v>
      </c>
      <c r="H40">
        <v>19119</v>
      </c>
    </row>
    <row r="41" spans="1:8" x14ac:dyDescent="0.3">
      <c r="A41" s="1">
        <v>45600</v>
      </c>
      <c r="B41" s="2" t="s">
        <v>7</v>
      </c>
      <c r="C41">
        <v>1466</v>
      </c>
      <c r="D41">
        <v>69</v>
      </c>
      <c r="E41">
        <v>54935</v>
      </c>
      <c r="F41">
        <v>6.85</v>
      </c>
      <c r="G41">
        <f>C41-D41</f>
        <v>1397</v>
      </c>
      <c r="H41">
        <v>36484</v>
      </c>
    </row>
    <row r="42" spans="1:8" x14ac:dyDescent="0.3">
      <c r="A42" s="1">
        <v>45733</v>
      </c>
      <c r="B42" s="2" t="s">
        <v>10</v>
      </c>
      <c r="C42">
        <v>1596</v>
      </c>
      <c r="D42">
        <v>211</v>
      </c>
      <c r="E42">
        <v>17380</v>
      </c>
      <c r="F42">
        <v>8.64</v>
      </c>
      <c r="G42">
        <f>C42-D42</f>
        <v>1385</v>
      </c>
      <c r="H42">
        <v>35801</v>
      </c>
    </row>
    <row r="43" spans="1:8" x14ac:dyDescent="0.3">
      <c r="A43" s="1">
        <v>45460</v>
      </c>
      <c r="B43" s="2" t="s">
        <v>8</v>
      </c>
      <c r="C43">
        <v>1753</v>
      </c>
      <c r="D43">
        <v>371</v>
      </c>
      <c r="E43">
        <v>169496</v>
      </c>
      <c r="F43">
        <v>8.11</v>
      </c>
      <c r="G43">
        <f>C43-D43</f>
        <v>1382</v>
      </c>
      <c r="H43">
        <v>46670</v>
      </c>
    </row>
    <row r="44" spans="1:8" x14ac:dyDescent="0.3">
      <c r="A44" s="1">
        <v>45642</v>
      </c>
      <c r="B44" s="2" t="s">
        <v>8</v>
      </c>
      <c r="C44">
        <v>1623</v>
      </c>
      <c r="D44">
        <v>246</v>
      </c>
      <c r="E44">
        <v>415815</v>
      </c>
      <c r="F44">
        <v>8.11</v>
      </c>
      <c r="G44">
        <f>C44-D44</f>
        <v>1377</v>
      </c>
      <c r="H44">
        <v>18656</v>
      </c>
    </row>
    <row r="45" spans="1:8" x14ac:dyDescent="0.3">
      <c r="A45" s="1">
        <v>45712</v>
      </c>
      <c r="B45" s="2" t="s">
        <v>7</v>
      </c>
      <c r="C45">
        <v>1440</v>
      </c>
      <c r="D45">
        <v>65</v>
      </c>
      <c r="E45">
        <v>126524</v>
      </c>
      <c r="F45">
        <v>4.34</v>
      </c>
      <c r="G45">
        <f>C45-D45</f>
        <v>1375</v>
      </c>
      <c r="H45">
        <v>49772</v>
      </c>
    </row>
    <row r="46" spans="1:8" x14ac:dyDescent="0.3">
      <c r="A46" s="1">
        <v>45635</v>
      </c>
      <c r="B46" s="2" t="s">
        <v>8</v>
      </c>
      <c r="C46">
        <v>1514</v>
      </c>
      <c r="D46">
        <v>141</v>
      </c>
      <c r="E46">
        <v>35842</v>
      </c>
      <c r="F46">
        <v>7.47</v>
      </c>
      <c r="G46">
        <f>C46-D46</f>
        <v>1373</v>
      </c>
      <c r="H46">
        <v>18601</v>
      </c>
    </row>
    <row r="47" spans="1:8" x14ac:dyDescent="0.3">
      <c r="A47" s="1">
        <v>45642</v>
      </c>
      <c r="B47" s="2" t="s">
        <v>9</v>
      </c>
      <c r="C47">
        <v>1592</v>
      </c>
      <c r="D47">
        <v>233</v>
      </c>
      <c r="E47">
        <v>327183</v>
      </c>
      <c r="F47">
        <v>6.66</v>
      </c>
      <c r="G47">
        <f>C47-D47</f>
        <v>1359</v>
      </c>
      <c r="H47">
        <v>13316</v>
      </c>
    </row>
    <row r="48" spans="1:8" x14ac:dyDescent="0.3">
      <c r="A48" s="1">
        <v>45474</v>
      </c>
      <c r="B48" s="2" t="s">
        <v>9</v>
      </c>
      <c r="C48">
        <v>1420</v>
      </c>
      <c r="D48">
        <v>63</v>
      </c>
      <c r="E48">
        <v>315305</v>
      </c>
      <c r="F48">
        <v>6.19</v>
      </c>
      <c r="G48">
        <f>C48-D48</f>
        <v>1357</v>
      </c>
      <c r="H48">
        <v>5914</v>
      </c>
    </row>
    <row r="49" spans="1:8" x14ac:dyDescent="0.3">
      <c r="A49" s="1">
        <v>45726</v>
      </c>
      <c r="B49" s="2" t="s">
        <v>9</v>
      </c>
      <c r="C49">
        <v>1399</v>
      </c>
      <c r="D49">
        <v>49</v>
      </c>
      <c r="E49">
        <v>12471</v>
      </c>
      <c r="F49">
        <v>5.12</v>
      </c>
      <c r="G49">
        <f>C49-D49</f>
        <v>1350</v>
      </c>
      <c r="H49">
        <v>14722</v>
      </c>
    </row>
    <row r="50" spans="1:8" x14ac:dyDescent="0.3">
      <c r="A50" s="1">
        <v>45516</v>
      </c>
      <c r="B50" s="2" t="s">
        <v>8</v>
      </c>
      <c r="C50">
        <v>1534</v>
      </c>
      <c r="D50">
        <v>200</v>
      </c>
      <c r="E50">
        <v>307612</v>
      </c>
      <c r="F50">
        <v>6.01</v>
      </c>
      <c r="G50">
        <f>C50-D50</f>
        <v>1334</v>
      </c>
      <c r="H50">
        <v>37903</v>
      </c>
    </row>
    <row r="51" spans="1:8" x14ac:dyDescent="0.3">
      <c r="A51" s="1">
        <v>45621</v>
      </c>
      <c r="B51" s="2" t="s">
        <v>8</v>
      </c>
      <c r="C51">
        <v>1710</v>
      </c>
      <c r="D51">
        <v>378</v>
      </c>
      <c r="E51">
        <v>336661</v>
      </c>
      <c r="F51">
        <v>6.2</v>
      </c>
      <c r="G51">
        <f>C51-D51</f>
        <v>1332</v>
      </c>
      <c r="H51">
        <v>28498</v>
      </c>
    </row>
    <row r="52" spans="1:8" x14ac:dyDescent="0.3">
      <c r="A52" s="1">
        <v>45516</v>
      </c>
      <c r="B52" s="2" t="s">
        <v>7</v>
      </c>
      <c r="C52">
        <v>1528</v>
      </c>
      <c r="D52">
        <v>203</v>
      </c>
      <c r="E52">
        <v>489188</v>
      </c>
      <c r="F52">
        <v>6.23</v>
      </c>
      <c r="G52">
        <f>C52-D52</f>
        <v>1325</v>
      </c>
      <c r="H52">
        <v>47101</v>
      </c>
    </row>
    <row r="53" spans="1:8" x14ac:dyDescent="0.3">
      <c r="A53" s="1">
        <v>45495</v>
      </c>
      <c r="B53" s="2" t="s">
        <v>9</v>
      </c>
      <c r="C53">
        <v>1701</v>
      </c>
      <c r="D53">
        <v>385</v>
      </c>
      <c r="E53">
        <v>198278</v>
      </c>
      <c r="F53">
        <v>5.34</v>
      </c>
      <c r="G53">
        <f>C53-D53</f>
        <v>1316</v>
      </c>
      <c r="H53">
        <v>32763</v>
      </c>
    </row>
    <row r="54" spans="1:8" x14ac:dyDescent="0.3">
      <c r="A54" s="1">
        <v>45719</v>
      </c>
      <c r="B54" s="2" t="s">
        <v>7</v>
      </c>
      <c r="C54">
        <v>1371</v>
      </c>
      <c r="D54">
        <v>56</v>
      </c>
      <c r="E54">
        <v>257579</v>
      </c>
      <c r="F54">
        <v>8.6199999999999992</v>
      </c>
      <c r="G54">
        <f>C54-D54</f>
        <v>1315</v>
      </c>
      <c r="H54">
        <v>33799</v>
      </c>
    </row>
    <row r="55" spans="1:8" x14ac:dyDescent="0.3">
      <c r="A55" s="1">
        <v>45460</v>
      </c>
      <c r="B55" s="2" t="s">
        <v>9</v>
      </c>
      <c r="C55">
        <v>1335</v>
      </c>
      <c r="D55">
        <v>40</v>
      </c>
      <c r="E55">
        <v>122732</v>
      </c>
      <c r="F55">
        <v>8.19</v>
      </c>
      <c r="G55">
        <f>C55-D55</f>
        <v>1295</v>
      </c>
      <c r="H55">
        <v>22482</v>
      </c>
    </row>
    <row r="56" spans="1:8" x14ac:dyDescent="0.3">
      <c r="A56" s="1">
        <v>45453</v>
      </c>
      <c r="B56" s="2" t="s">
        <v>8</v>
      </c>
      <c r="C56">
        <v>1697</v>
      </c>
      <c r="D56">
        <v>414</v>
      </c>
      <c r="E56">
        <v>316555</v>
      </c>
      <c r="F56">
        <v>2.37</v>
      </c>
      <c r="G56">
        <f>C56-D56</f>
        <v>1283</v>
      </c>
      <c r="H56">
        <v>7924</v>
      </c>
    </row>
    <row r="57" spans="1:8" x14ac:dyDescent="0.3">
      <c r="A57" s="1">
        <v>45537</v>
      </c>
      <c r="B57" s="2" t="s">
        <v>7</v>
      </c>
      <c r="C57">
        <v>1429</v>
      </c>
      <c r="D57">
        <v>182</v>
      </c>
      <c r="E57">
        <v>101332</v>
      </c>
      <c r="F57">
        <v>7.16</v>
      </c>
      <c r="G57">
        <f>C57-D57</f>
        <v>1247</v>
      </c>
      <c r="H57">
        <v>37829</v>
      </c>
    </row>
    <row r="58" spans="1:8" x14ac:dyDescent="0.3">
      <c r="A58" s="1">
        <v>45726</v>
      </c>
      <c r="B58" s="2" t="s">
        <v>10</v>
      </c>
      <c r="C58">
        <v>1658</v>
      </c>
      <c r="D58">
        <v>416</v>
      </c>
      <c r="E58">
        <v>98397</v>
      </c>
      <c r="F58">
        <v>6.11</v>
      </c>
      <c r="G58">
        <f>C58-D58</f>
        <v>1242</v>
      </c>
      <c r="H58">
        <v>11383</v>
      </c>
    </row>
    <row r="59" spans="1:8" x14ac:dyDescent="0.3">
      <c r="A59" s="1">
        <v>45530</v>
      </c>
      <c r="B59" s="2" t="s">
        <v>9</v>
      </c>
      <c r="C59">
        <v>1300</v>
      </c>
      <c r="D59">
        <v>71</v>
      </c>
      <c r="E59">
        <v>186454</v>
      </c>
      <c r="F59">
        <v>3.91</v>
      </c>
      <c r="G59">
        <f>C59-D59</f>
        <v>1229</v>
      </c>
      <c r="H59">
        <v>9942</v>
      </c>
    </row>
    <row r="60" spans="1:8" x14ac:dyDescent="0.3">
      <c r="A60" s="1">
        <v>45684</v>
      </c>
      <c r="B60" s="2" t="s">
        <v>10</v>
      </c>
      <c r="C60">
        <v>1411</v>
      </c>
      <c r="D60">
        <v>186</v>
      </c>
      <c r="E60">
        <v>461669</v>
      </c>
      <c r="F60">
        <v>3.72</v>
      </c>
      <c r="G60">
        <f>C60-D60</f>
        <v>1225</v>
      </c>
      <c r="H60">
        <v>43999</v>
      </c>
    </row>
    <row r="61" spans="1:8" x14ac:dyDescent="0.3">
      <c r="A61" s="1">
        <v>45579</v>
      </c>
      <c r="B61" s="2" t="s">
        <v>7</v>
      </c>
      <c r="C61">
        <v>1527</v>
      </c>
      <c r="D61">
        <v>303</v>
      </c>
      <c r="E61">
        <v>388555</v>
      </c>
      <c r="F61">
        <v>8.9</v>
      </c>
      <c r="G61">
        <f>C61-D61</f>
        <v>1224</v>
      </c>
      <c r="H61">
        <v>36397</v>
      </c>
    </row>
    <row r="62" spans="1:8" x14ac:dyDescent="0.3">
      <c r="A62" s="1">
        <v>45698</v>
      </c>
      <c r="B62" s="2" t="s">
        <v>9</v>
      </c>
      <c r="C62">
        <v>1587</v>
      </c>
      <c r="D62">
        <v>385</v>
      </c>
      <c r="E62">
        <v>126582</v>
      </c>
      <c r="F62">
        <v>6.99</v>
      </c>
      <c r="G62">
        <f>C62-D62</f>
        <v>1202</v>
      </c>
      <c r="H62">
        <v>42832</v>
      </c>
    </row>
    <row r="63" spans="1:8" x14ac:dyDescent="0.3">
      <c r="A63" s="1">
        <v>45663</v>
      </c>
      <c r="B63" s="2" t="s">
        <v>9</v>
      </c>
      <c r="C63">
        <v>1633</v>
      </c>
      <c r="D63">
        <v>445</v>
      </c>
      <c r="E63">
        <v>371156</v>
      </c>
      <c r="F63">
        <v>2.2200000000000002</v>
      </c>
      <c r="G63">
        <f>C63-D63</f>
        <v>1188</v>
      </c>
      <c r="H63">
        <v>2798</v>
      </c>
    </row>
    <row r="64" spans="1:8" x14ac:dyDescent="0.3">
      <c r="A64" s="1">
        <v>45705</v>
      </c>
      <c r="B64" s="2" t="s">
        <v>10</v>
      </c>
      <c r="C64">
        <v>1662</v>
      </c>
      <c r="D64">
        <v>487</v>
      </c>
      <c r="E64">
        <v>105980</v>
      </c>
      <c r="F64">
        <v>9.08</v>
      </c>
      <c r="G64">
        <f>C64-D64</f>
        <v>1175</v>
      </c>
      <c r="H64">
        <v>22996</v>
      </c>
    </row>
    <row r="65" spans="1:8" x14ac:dyDescent="0.3">
      <c r="A65" s="1">
        <v>45628</v>
      </c>
      <c r="B65" s="2" t="s">
        <v>9</v>
      </c>
      <c r="C65">
        <v>1441</v>
      </c>
      <c r="D65">
        <v>268</v>
      </c>
      <c r="E65">
        <v>309904</v>
      </c>
      <c r="F65">
        <v>6.37</v>
      </c>
      <c r="G65">
        <f>C65-D65</f>
        <v>1173</v>
      </c>
      <c r="H65">
        <v>3455</v>
      </c>
    </row>
    <row r="66" spans="1:8" x14ac:dyDescent="0.3">
      <c r="A66" s="1">
        <v>45607</v>
      </c>
      <c r="B66" s="2" t="s">
        <v>9</v>
      </c>
      <c r="C66">
        <v>1487</v>
      </c>
      <c r="D66">
        <v>337</v>
      </c>
      <c r="E66">
        <v>87305</v>
      </c>
      <c r="F66">
        <v>2.46</v>
      </c>
      <c r="G66">
        <f>C66-D66</f>
        <v>1150</v>
      </c>
      <c r="H66">
        <v>30428</v>
      </c>
    </row>
    <row r="67" spans="1:8" x14ac:dyDescent="0.3">
      <c r="A67" s="1">
        <v>45551</v>
      </c>
      <c r="B67" s="2" t="s">
        <v>9</v>
      </c>
      <c r="C67">
        <v>1472</v>
      </c>
      <c r="D67">
        <v>347</v>
      </c>
      <c r="E67">
        <v>392355</v>
      </c>
      <c r="F67">
        <v>8.59</v>
      </c>
      <c r="G67">
        <f>C67-D67</f>
        <v>1125</v>
      </c>
      <c r="H67">
        <v>30270</v>
      </c>
    </row>
    <row r="68" spans="1:8" x14ac:dyDescent="0.3">
      <c r="A68" s="1">
        <v>45635</v>
      </c>
      <c r="B68" s="2" t="s">
        <v>7</v>
      </c>
      <c r="C68">
        <v>1494</v>
      </c>
      <c r="D68">
        <v>375</v>
      </c>
      <c r="E68">
        <v>220616</v>
      </c>
      <c r="F68">
        <v>1.81</v>
      </c>
      <c r="G68">
        <f>C68-D68</f>
        <v>1119</v>
      </c>
      <c r="H68">
        <v>22724</v>
      </c>
    </row>
    <row r="69" spans="1:8" x14ac:dyDescent="0.3">
      <c r="A69" s="1">
        <v>45733</v>
      </c>
      <c r="B69" s="2" t="s">
        <v>8</v>
      </c>
      <c r="C69">
        <v>1358</v>
      </c>
      <c r="D69">
        <v>242</v>
      </c>
      <c r="E69">
        <v>342129</v>
      </c>
      <c r="F69">
        <v>4.9400000000000004</v>
      </c>
      <c r="G69">
        <f>C69-D69</f>
        <v>1116</v>
      </c>
      <c r="H69">
        <v>29116</v>
      </c>
    </row>
    <row r="70" spans="1:8" x14ac:dyDescent="0.3">
      <c r="A70" s="1">
        <v>45544</v>
      </c>
      <c r="B70" s="2" t="s">
        <v>10</v>
      </c>
      <c r="C70">
        <v>1409</v>
      </c>
      <c r="D70">
        <v>309</v>
      </c>
      <c r="E70">
        <v>64583</v>
      </c>
      <c r="F70">
        <v>8.99</v>
      </c>
      <c r="G70">
        <f>C70-D70</f>
        <v>1100</v>
      </c>
      <c r="H70">
        <v>10217</v>
      </c>
    </row>
    <row r="71" spans="1:8" x14ac:dyDescent="0.3">
      <c r="A71" s="1">
        <v>45446</v>
      </c>
      <c r="B71" s="2" t="s">
        <v>10</v>
      </c>
      <c r="C71">
        <v>1535</v>
      </c>
      <c r="D71">
        <v>445</v>
      </c>
      <c r="E71">
        <v>395536</v>
      </c>
      <c r="F71">
        <v>4.1100000000000003</v>
      </c>
      <c r="G71">
        <f>C71-D71</f>
        <v>1090</v>
      </c>
      <c r="H71">
        <v>30671</v>
      </c>
    </row>
    <row r="72" spans="1:8" x14ac:dyDescent="0.3">
      <c r="A72" s="1">
        <v>45691</v>
      </c>
      <c r="B72" s="2" t="s">
        <v>7</v>
      </c>
      <c r="C72">
        <v>1556</v>
      </c>
      <c r="D72">
        <v>476</v>
      </c>
      <c r="E72">
        <v>351556</v>
      </c>
      <c r="F72">
        <v>3.89</v>
      </c>
      <c r="G72">
        <f>C72-D72</f>
        <v>1080</v>
      </c>
      <c r="H72">
        <v>10825</v>
      </c>
    </row>
    <row r="73" spans="1:8" x14ac:dyDescent="0.3">
      <c r="A73" s="1">
        <v>45523</v>
      </c>
      <c r="B73" s="2" t="s">
        <v>8</v>
      </c>
      <c r="C73">
        <v>1078</v>
      </c>
      <c r="D73">
        <v>20</v>
      </c>
      <c r="E73">
        <v>183924</v>
      </c>
      <c r="F73">
        <v>8.84</v>
      </c>
      <c r="G73">
        <f>C73-D73</f>
        <v>1058</v>
      </c>
      <c r="H73">
        <v>14203</v>
      </c>
    </row>
    <row r="74" spans="1:8" x14ac:dyDescent="0.3">
      <c r="A74" s="1">
        <v>45446</v>
      </c>
      <c r="B74" s="2" t="s">
        <v>7</v>
      </c>
      <c r="C74">
        <v>1135</v>
      </c>
      <c r="D74">
        <v>88</v>
      </c>
      <c r="E74">
        <v>344084</v>
      </c>
      <c r="F74">
        <v>8.06</v>
      </c>
      <c r="G74">
        <f>C74-D74</f>
        <v>1047</v>
      </c>
      <c r="H74">
        <v>5904</v>
      </c>
    </row>
    <row r="75" spans="1:8" x14ac:dyDescent="0.3">
      <c r="A75" s="1">
        <v>45537</v>
      </c>
      <c r="B75" s="2" t="s">
        <v>8</v>
      </c>
      <c r="C75">
        <v>1520</v>
      </c>
      <c r="D75">
        <v>475</v>
      </c>
      <c r="E75">
        <v>496982</v>
      </c>
      <c r="F75">
        <v>6.41</v>
      </c>
      <c r="G75">
        <f>C75-D75</f>
        <v>1045</v>
      </c>
      <c r="H75">
        <v>24384</v>
      </c>
    </row>
    <row r="76" spans="1:8" x14ac:dyDescent="0.3">
      <c r="A76" s="1">
        <v>45768</v>
      </c>
      <c r="B76" s="2" t="s">
        <v>8</v>
      </c>
      <c r="C76">
        <v>1375</v>
      </c>
      <c r="D76">
        <v>330</v>
      </c>
      <c r="E76">
        <v>377382</v>
      </c>
      <c r="F76">
        <v>2.6</v>
      </c>
      <c r="G76">
        <f>C76-D76</f>
        <v>1045</v>
      </c>
      <c r="H76">
        <v>7875</v>
      </c>
    </row>
    <row r="77" spans="1:8" x14ac:dyDescent="0.3">
      <c r="A77" s="1">
        <v>45600</v>
      </c>
      <c r="B77" s="2" t="s">
        <v>10</v>
      </c>
      <c r="C77">
        <v>1507</v>
      </c>
      <c r="D77">
        <v>463</v>
      </c>
      <c r="E77">
        <v>258944</v>
      </c>
      <c r="F77">
        <v>6.08</v>
      </c>
      <c r="G77">
        <f>C77-D77</f>
        <v>1044</v>
      </c>
      <c r="H77">
        <v>16443</v>
      </c>
    </row>
    <row r="78" spans="1:8" x14ac:dyDescent="0.3">
      <c r="A78" s="1">
        <v>45516</v>
      </c>
      <c r="B78" s="2" t="s">
        <v>10</v>
      </c>
      <c r="C78">
        <v>1210</v>
      </c>
      <c r="D78">
        <v>178</v>
      </c>
      <c r="E78">
        <v>102042</v>
      </c>
      <c r="F78">
        <v>5.42</v>
      </c>
      <c r="G78">
        <f>C78-D78</f>
        <v>1032</v>
      </c>
      <c r="H78">
        <v>6915</v>
      </c>
    </row>
    <row r="79" spans="1:8" x14ac:dyDescent="0.3">
      <c r="A79" s="1">
        <v>45754</v>
      </c>
      <c r="B79" s="2" t="s">
        <v>8</v>
      </c>
      <c r="C79">
        <v>1307</v>
      </c>
      <c r="D79">
        <v>278</v>
      </c>
      <c r="E79">
        <v>98596</v>
      </c>
      <c r="F79">
        <v>2.4900000000000002</v>
      </c>
      <c r="G79">
        <f>C79-D79</f>
        <v>1029</v>
      </c>
      <c r="H79">
        <v>47603</v>
      </c>
    </row>
    <row r="80" spans="1:8" x14ac:dyDescent="0.3">
      <c r="A80" s="1">
        <v>45565</v>
      </c>
      <c r="B80" s="2" t="s">
        <v>7</v>
      </c>
      <c r="C80">
        <v>1433</v>
      </c>
      <c r="D80">
        <v>408</v>
      </c>
      <c r="E80">
        <v>370269</v>
      </c>
      <c r="F80">
        <v>3.3</v>
      </c>
      <c r="G80">
        <f>C80-D80</f>
        <v>1025</v>
      </c>
      <c r="H80">
        <v>30575</v>
      </c>
    </row>
    <row r="81" spans="1:8" x14ac:dyDescent="0.3">
      <c r="A81" s="1">
        <v>45712</v>
      </c>
      <c r="B81" s="2" t="s">
        <v>10</v>
      </c>
      <c r="C81">
        <v>1063</v>
      </c>
      <c r="D81">
        <v>47</v>
      </c>
      <c r="E81">
        <v>464239</v>
      </c>
      <c r="F81">
        <v>6.58</v>
      </c>
      <c r="G81">
        <f>C81-D81</f>
        <v>1016</v>
      </c>
      <c r="H81">
        <v>39031</v>
      </c>
    </row>
    <row r="82" spans="1:8" x14ac:dyDescent="0.3">
      <c r="A82" s="1">
        <v>45754</v>
      </c>
      <c r="B82" s="2" t="s">
        <v>9</v>
      </c>
      <c r="C82">
        <v>1432</v>
      </c>
      <c r="D82">
        <v>425</v>
      </c>
      <c r="E82">
        <v>29589</v>
      </c>
      <c r="F82">
        <v>4.5</v>
      </c>
      <c r="G82">
        <f>C82-D82</f>
        <v>1007</v>
      </c>
      <c r="H82">
        <v>42964</v>
      </c>
    </row>
    <row r="83" spans="1:8" x14ac:dyDescent="0.3">
      <c r="A83" s="1">
        <v>45558</v>
      </c>
      <c r="B83" s="2" t="s">
        <v>10</v>
      </c>
      <c r="C83">
        <v>1218</v>
      </c>
      <c r="D83">
        <v>212</v>
      </c>
      <c r="E83">
        <v>63177</v>
      </c>
      <c r="F83">
        <v>8.1300000000000008</v>
      </c>
      <c r="G83">
        <f>C83-D83</f>
        <v>1006</v>
      </c>
      <c r="H83">
        <v>38883</v>
      </c>
    </row>
    <row r="84" spans="1:8" x14ac:dyDescent="0.3">
      <c r="A84" s="1">
        <v>45446</v>
      </c>
      <c r="B84" s="2" t="s">
        <v>8</v>
      </c>
      <c r="C84">
        <v>1312</v>
      </c>
      <c r="D84">
        <v>310</v>
      </c>
      <c r="E84">
        <v>42654</v>
      </c>
      <c r="F84">
        <v>4.9800000000000004</v>
      </c>
      <c r="G84">
        <f>C84-D84</f>
        <v>1002</v>
      </c>
      <c r="H84">
        <v>9566</v>
      </c>
    </row>
    <row r="85" spans="1:8" x14ac:dyDescent="0.3">
      <c r="A85" s="1">
        <v>45453</v>
      </c>
      <c r="B85" s="2" t="s">
        <v>10</v>
      </c>
      <c r="C85">
        <v>1197</v>
      </c>
      <c r="D85">
        <v>203</v>
      </c>
      <c r="E85">
        <v>413878</v>
      </c>
      <c r="F85">
        <v>3.16</v>
      </c>
      <c r="G85">
        <f>C85-D85</f>
        <v>994</v>
      </c>
      <c r="H85">
        <v>21205</v>
      </c>
    </row>
    <row r="86" spans="1:8" x14ac:dyDescent="0.3">
      <c r="A86" s="1">
        <v>45705</v>
      </c>
      <c r="B86" s="2" t="s">
        <v>7</v>
      </c>
      <c r="C86">
        <v>1138</v>
      </c>
      <c r="D86">
        <v>173</v>
      </c>
      <c r="E86">
        <v>453243</v>
      </c>
      <c r="F86">
        <v>2.86</v>
      </c>
      <c r="G86">
        <f>C86-D86</f>
        <v>965</v>
      </c>
      <c r="H86">
        <v>44097</v>
      </c>
    </row>
    <row r="87" spans="1:8" x14ac:dyDescent="0.3">
      <c r="A87" s="1">
        <v>45495</v>
      </c>
      <c r="B87" s="2" t="s">
        <v>8</v>
      </c>
      <c r="C87">
        <v>1391</v>
      </c>
      <c r="D87">
        <v>430</v>
      </c>
      <c r="E87">
        <v>295032</v>
      </c>
      <c r="F87">
        <v>7.86</v>
      </c>
      <c r="G87">
        <f>C87-D87</f>
        <v>961</v>
      </c>
      <c r="H87">
        <v>26067</v>
      </c>
    </row>
    <row r="88" spans="1:8" x14ac:dyDescent="0.3">
      <c r="A88" s="1">
        <v>45775</v>
      </c>
      <c r="B88" s="2" t="s">
        <v>9</v>
      </c>
      <c r="C88">
        <v>1222</v>
      </c>
      <c r="D88">
        <v>274</v>
      </c>
      <c r="E88">
        <v>487289</v>
      </c>
      <c r="F88">
        <v>3.16</v>
      </c>
      <c r="G88">
        <f>C88-D88</f>
        <v>948</v>
      </c>
      <c r="H88">
        <v>32500</v>
      </c>
    </row>
    <row r="89" spans="1:8" x14ac:dyDescent="0.3">
      <c r="A89" s="1">
        <v>45698</v>
      </c>
      <c r="B89" s="2" t="s">
        <v>8</v>
      </c>
      <c r="C89">
        <v>1294</v>
      </c>
      <c r="D89">
        <v>382</v>
      </c>
      <c r="E89">
        <v>309914</v>
      </c>
      <c r="F89">
        <v>8.0299999999999994</v>
      </c>
      <c r="G89">
        <f>C89-D89</f>
        <v>912</v>
      </c>
      <c r="H89">
        <v>23489</v>
      </c>
    </row>
    <row r="90" spans="1:8" x14ac:dyDescent="0.3">
      <c r="A90" s="1">
        <v>45649</v>
      </c>
      <c r="B90" s="2" t="s">
        <v>9</v>
      </c>
      <c r="C90">
        <v>1137</v>
      </c>
      <c r="D90">
        <v>226</v>
      </c>
      <c r="E90">
        <v>81119</v>
      </c>
      <c r="F90">
        <v>7.74</v>
      </c>
      <c r="G90">
        <f>C90-D90</f>
        <v>911</v>
      </c>
      <c r="H90">
        <v>35359</v>
      </c>
    </row>
    <row r="91" spans="1:8" x14ac:dyDescent="0.3">
      <c r="A91" s="1">
        <v>45726</v>
      </c>
      <c r="B91" s="2" t="s">
        <v>8</v>
      </c>
      <c r="C91">
        <v>1098</v>
      </c>
      <c r="D91">
        <v>190</v>
      </c>
      <c r="E91">
        <v>340842</v>
      </c>
      <c r="F91">
        <v>9.39</v>
      </c>
      <c r="G91">
        <f>C91-D91</f>
        <v>908</v>
      </c>
      <c r="H91">
        <v>21539</v>
      </c>
    </row>
    <row r="92" spans="1:8" x14ac:dyDescent="0.3">
      <c r="A92" s="1">
        <v>45663</v>
      </c>
      <c r="B92" s="2" t="s">
        <v>7</v>
      </c>
      <c r="C92">
        <v>1013</v>
      </c>
      <c r="D92">
        <v>110</v>
      </c>
      <c r="E92">
        <v>466382</v>
      </c>
      <c r="F92">
        <v>5.3</v>
      </c>
      <c r="G92">
        <f>C92-D92</f>
        <v>903</v>
      </c>
      <c r="H92">
        <v>37132</v>
      </c>
    </row>
    <row r="93" spans="1:8" x14ac:dyDescent="0.3">
      <c r="A93" s="1">
        <v>45607</v>
      </c>
      <c r="B93" s="2" t="s">
        <v>7</v>
      </c>
      <c r="C93">
        <v>1075</v>
      </c>
      <c r="D93">
        <v>173</v>
      </c>
      <c r="E93">
        <v>51395</v>
      </c>
      <c r="F93">
        <v>4.66</v>
      </c>
      <c r="G93">
        <f>C93-D93</f>
        <v>902</v>
      </c>
      <c r="H93">
        <v>47812</v>
      </c>
    </row>
    <row r="94" spans="1:8" x14ac:dyDescent="0.3">
      <c r="A94" s="1">
        <v>45670</v>
      </c>
      <c r="B94" s="2" t="s">
        <v>10</v>
      </c>
      <c r="C94">
        <v>1331</v>
      </c>
      <c r="D94">
        <v>430</v>
      </c>
      <c r="E94">
        <v>14437</v>
      </c>
      <c r="F94">
        <v>3.29</v>
      </c>
      <c r="G94">
        <f>C94-D94</f>
        <v>901</v>
      </c>
      <c r="H94">
        <v>40868</v>
      </c>
    </row>
    <row r="95" spans="1:8" x14ac:dyDescent="0.3">
      <c r="A95" s="1">
        <v>45719</v>
      </c>
      <c r="B95" s="2" t="s">
        <v>9</v>
      </c>
      <c r="C95">
        <v>946</v>
      </c>
      <c r="D95">
        <v>47</v>
      </c>
      <c r="E95">
        <v>466575</v>
      </c>
      <c r="F95">
        <v>8.33</v>
      </c>
      <c r="G95">
        <f>C95-D95</f>
        <v>899</v>
      </c>
      <c r="H95">
        <v>10002</v>
      </c>
    </row>
    <row r="96" spans="1:8" x14ac:dyDescent="0.3">
      <c r="A96" s="1">
        <v>45684</v>
      </c>
      <c r="B96" s="2" t="s">
        <v>8</v>
      </c>
      <c r="C96">
        <v>1249</v>
      </c>
      <c r="D96">
        <v>351</v>
      </c>
      <c r="E96">
        <v>321307</v>
      </c>
      <c r="F96">
        <v>6.37</v>
      </c>
      <c r="G96">
        <f>C96-D96</f>
        <v>898</v>
      </c>
      <c r="H96">
        <v>20560</v>
      </c>
    </row>
    <row r="97" spans="1:8" x14ac:dyDescent="0.3">
      <c r="A97" s="1">
        <v>45460</v>
      </c>
      <c r="B97" s="2" t="s">
        <v>7</v>
      </c>
      <c r="C97">
        <v>1048</v>
      </c>
      <c r="D97">
        <v>155</v>
      </c>
      <c r="E97">
        <v>456946</v>
      </c>
      <c r="F97">
        <v>2.46</v>
      </c>
      <c r="G97">
        <f>C97-D97</f>
        <v>893</v>
      </c>
      <c r="H97">
        <v>11329</v>
      </c>
    </row>
    <row r="98" spans="1:8" x14ac:dyDescent="0.3">
      <c r="A98" s="1">
        <v>45677</v>
      </c>
      <c r="B98" s="2" t="s">
        <v>9</v>
      </c>
      <c r="C98">
        <v>1040</v>
      </c>
      <c r="D98">
        <v>149</v>
      </c>
      <c r="E98">
        <v>124404</v>
      </c>
      <c r="F98">
        <v>5.23</v>
      </c>
      <c r="G98">
        <f>C98-D98</f>
        <v>891</v>
      </c>
      <c r="H98">
        <v>45380</v>
      </c>
    </row>
    <row r="99" spans="1:8" x14ac:dyDescent="0.3">
      <c r="A99" s="1">
        <v>45621</v>
      </c>
      <c r="B99" s="2" t="s">
        <v>10</v>
      </c>
      <c r="C99">
        <v>1293</v>
      </c>
      <c r="D99">
        <v>408</v>
      </c>
      <c r="E99">
        <v>62535</v>
      </c>
      <c r="F99">
        <v>8.9</v>
      </c>
      <c r="G99">
        <f>C99-D99</f>
        <v>885</v>
      </c>
      <c r="H99">
        <v>37876</v>
      </c>
    </row>
    <row r="100" spans="1:8" x14ac:dyDescent="0.3">
      <c r="A100" s="1">
        <v>45642</v>
      </c>
      <c r="B100" s="2" t="s">
        <v>10</v>
      </c>
      <c r="C100">
        <v>1004</v>
      </c>
      <c r="D100">
        <v>128</v>
      </c>
      <c r="E100">
        <v>488901</v>
      </c>
      <c r="F100">
        <v>8.09</v>
      </c>
      <c r="G100">
        <f>C100-D100</f>
        <v>876</v>
      </c>
      <c r="H100">
        <v>49558</v>
      </c>
    </row>
    <row r="101" spans="1:8" x14ac:dyDescent="0.3">
      <c r="A101" s="1">
        <v>45782</v>
      </c>
      <c r="B101" s="2" t="s">
        <v>10</v>
      </c>
      <c r="C101">
        <v>1035</v>
      </c>
      <c r="D101">
        <v>171</v>
      </c>
      <c r="E101">
        <v>148477</v>
      </c>
      <c r="F101">
        <v>5.21</v>
      </c>
      <c r="G101">
        <f>C101-D101</f>
        <v>864</v>
      </c>
      <c r="H101">
        <v>7541</v>
      </c>
    </row>
    <row r="102" spans="1:8" x14ac:dyDescent="0.3">
      <c r="A102" s="1">
        <v>45733</v>
      </c>
      <c r="B102" s="2" t="s">
        <v>9</v>
      </c>
      <c r="C102">
        <v>1077</v>
      </c>
      <c r="D102">
        <v>216</v>
      </c>
      <c r="E102">
        <v>12447</v>
      </c>
      <c r="F102">
        <v>1.8</v>
      </c>
      <c r="G102">
        <f>C102-D102</f>
        <v>861</v>
      </c>
      <c r="H102">
        <v>14068</v>
      </c>
    </row>
    <row r="103" spans="1:8" x14ac:dyDescent="0.3">
      <c r="A103" s="1">
        <v>45663</v>
      </c>
      <c r="B103" s="2" t="s">
        <v>10</v>
      </c>
      <c r="C103">
        <v>891</v>
      </c>
      <c r="D103">
        <v>45</v>
      </c>
      <c r="E103">
        <v>95410</v>
      </c>
      <c r="F103">
        <v>8.33</v>
      </c>
      <c r="G103">
        <f>C103-D103</f>
        <v>846</v>
      </c>
      <c r="H103">
        <v>15045</v>
      </c>
    </row>
    <row r="104" spans="1:8" x14ac:dyDescent="0.3">
      <c r="A104" s="1">
        <v>45467</v>
      </c>
      <c r="B104" s="2" t="s">
        <v>9</v>
      </c>
      <c r="C104">
        <v>1238</v>
      </c>
      <c r="D104">
        <v>403</v>
      </c>
      <c r="E104">
        <v>298421</v>
      </c>
      <c r="F104">
        <v>3.5</v>
      </c>
      <c r="G104">
        <f>C104-D104</f>
        <v>835</v>
      </c>
      <c r="H104">
        <v>31280</v>
      </c>
    </row>
    <row r="105" spans="1:8" x14ac:dyDescent="0.3">
      <c r="A105" s="1">
        <v>45768</v>
      </c>
      <c r="B105" s="2" t="s">
        <v>9</v>
      </c>
      <c r="C105">
        <v>1147</v>
      </c>
      <c r="D105">
        <v>388</v>
      </c>
      <c r="E105">
        <v>333851</v>
      </c>
      <c r="F105">
        <v>2.44</v>
      </c>
      <c r="G105">
        <f>C105-D105</f>
        <v>759</v>
      </c>
      <c r="H105">
        <v>8471</v>
      </c>
    </row>
    <row r="106" spans="1:8" x14ac:dyDescent="0.3">
      <c r="A106" s="1">
        <v>45691</v>
      </c>
      <c r="B106" s="2" t="s">
        <v>8</v>
      </c>
      <c r="C106">
        <v>1159</v>
      </c>
      <c r="D106">
        <v>411</v>
      </c>
      <c r="E106">
        <v>135987</v>
      </c>
      <c r="F106">
        <v>8.6999999999999993</v>
      </c>
      <c r="G106">
        <f>C106-D106</f>
        <v>748</v>
      </c>
      <c r="H106">
        <v>40323</v>
      </c>
    </row>
    <row r="107" spans="1:8" x14ac:dyDescent="0.3">
      <c r="A107" s="1">
        <v>45649</v>
      </c>
      <c r="B107" s="2" t="s">
        <v>8</v>
      </c>
      <c r="C107">
        <v>1155</v>
      </c>
      <c r="D107">
        <v>425</v>
      </c>
      <c r="E107">
        <v>93347</v>
      </c>
      <c r="F107">
        <v>2.02</v>
      </c>
      <c r="G107">
        <f>C107-D107</f>
        <v>730</v>
      </c>
      <c r="H107">
        <v>47502</v>
      </c>
    </row>
    <row r="108" spans="1:8" x14ac:dyDescent="0.3">
      <c r="A108" s="1">
        <v>45677</v>
      </c>
      <c r="B108" s="2" t="s">
        <v>10</v>
      </c>
      <c r="C108">
        <v>1166</v>
      </c>
      <c r="D108">
        <v>442</v>
      </c>
      <c r="E108">
        <v>336949</v>
      </c>
      <c r="F108">
        <v>4.68</v>
      </c>
      <c r="G108">
        <f>C108-D108</f>
        <v>724</v>
      </c>
      <c r="H108">
        <v>7705</v>
      </c>
    </row>
    <row r="109" spans="1:8" x14ac:dyDescent="0.3">
      <c r="A109" s="1">
        <v>45712</v>
      </c>
      <c r="B109" s="2" t="s">
        <v>9</v>
      </c>
      <c r="C109">
        <v>861</v>
      </c>
      <c r="D109">
        <v>153</v>
      </c>
      <c r="E109">
        <v>317007</v>
      </c>
      <c r="F109">
        <v>3.85</v>
      </c>
      <c r="G109">
        <f>C109-D109</f>
        <v>708</v>
      </c>
      <c r="H109">
        <v>8718</v>
      </c>
    </row>
    <row r="110" spans="1:8" x14ac:dyDescent="0.3">
      <c r="A110" s="1">
        <v>45649</v>
      </c>
      <c r="B110" s="2" t="s">
        <v>7</v>
      </c>
      <c r="C110">
        <v>1092</v>
      </c>
      <c r="D110">
        <v>408</v>
      </c>
      <c r="E110">
        <v>280795</v>
      </c>
      <c r="F110">
        <v>8.44</v>
      </c>
      <c r="G110">
        <f>C110-D110</f>
        <v>684</v>
      </c>
      <c r="H110">
        <v>4683</v>
      </c>
    </row>
    <row r="111" spans="1:8" x14ac:dyDescent="0.3">
      <c r="A111" s="1">
        <v>45733</v>
      </c>
      <c r="B111" s="2" t="s">
        <v>7</v>
      </c>
      <c r="C111">
        <v>1102</v>
      </c>
      <c r="D111">
        <v>422</v>
      </c>
      <c r="E111">
        <v>410330</v>
      </c>
      <c r="F111">
        <v>7.74</v>
      </c>
      <c r="G111">
        <f>C111-D111</f>
        <v>680</v>
      </c>
      <c r="H111">
        <v>9480</v>
      </c>
    </row>
    <row r="112" spans="1:8" x14ac:dyDescent="0.3">
      <c r="A112" s="1">
        <v>45558</v>
      </c>
      <c r="B112" s="2" t="s">
        <v>7</v>
      </c>
      <c r="C112">
        <v>817</v>
      </c>
      <c r="D112">
        <v>151</v>
      </c>
      <c r="E112">
        <v>422625</v>
      </c>
      <c r="F112">
        <v>2.36</v>
      </c>
      <c r="G112">
        <f>C112-D112</f>
        <v>666</v>
      </c>
      <c r="H112">
        <v>1083</v>
      </c>
    </row>
    <row r="113" spans="1:8" x14ac:dyDescent="0.3">
      <c r="A113" s="1">
        <v>45747</v>
      </c>
      <c r="B113" s="2" t="s">
        <v>7</v>
      </c>
      <c r="C113">
        <v>1033</v>
      </c>
      <c r="D113">
        <v>392</v>
      </c>
      <c r="E113">
        <v>282780</v>
      </c>
      <c r="F113">
        <v>6.27</v>
      </c>
      <c r="G113">
        <f>C113-D113</f>
        <v>641</v>
      </c>
      <c r="H113">
        <v>23140</v>
      </c>
    </row>
    <row r="114" spans="1:8" x14ac:dyDescent="0.3">
      <c r="A114" s="1">
        <v>45775</v>
      </c>
      <c r="B114" s="2" t="s">
        <v>10</v>
      </c>
      <c r="C114">
        <v>777</v>
      </c>
      <c r="D114">
        <v>140</v>
      </c>
      <c r="E114">
        <v>11435</v>
      </c>
      <c r="F114">
        <v>1.6</v>
      </c>
      <c r="G114">
        <f>C114-D114</f>
        <v>637</v>
      </c>
      <c r="H114">
        <v>6832</v>
      </c>
    </row>
    <row r="115" spans="1:8" x14ac:dyDescent="0.3">
      <c r="A115" s="1">
        <v>45586</v>
      </c>
      <c r="B115" s="2" t="s">
        <v>9</v>
      </c>
      <c r="C115">
        <v>697</v>
      </c>
      <c r="D115">
        <v>61</v>
      </c>
      <c r="E115">
        <v>258287</v>
      </c>
      <c r="F115">
        <v>8.25</v>
      </c>
      <c r="G115">
        <f>C115-D115</f>
        <v>636</v>
      </c>
      <c r="H115">
        <v>21208</v>
      </c>
    </row>
    <row r="116" spans="1:8" x14ac:dyDescent="0.3">
      <c r="A116" s="1">
        <v>45467</v>
      </c>
      <c r="B116" s="2" t="s">
        <v>7</v>
      </c>
      <c r="C116">
        <v>911</v>
      </c>
      <c r="D116">
        <v>282</v>
      </c>
      <c r="E116">
        <v>35664</v>
      </c>
      <c r="F116">
        <v>6.92</v>
      </c>
      <c r="G116">
        <f>C116-D116</f>
        <v>629</v>
      </c>
      <c r="H116">
        <v>18050</v>
      </c>
    </row>
    <row r="117" spans="1:8" x14ac:dyDescent="0.3">
      <c r="A117" s="1">
        <v>45663</v>
      </c>
      <c r="B117" s="2" t="s">
        <v>8</v>
      </c>
      <c r="C117">
        <v>816</v>
      </c>
      <c r="D117">
        <v>196</v>
      </c>
      <c r="E117">
        <v>95728</v>
      </c>
      <c r="F117">
        <v>8.1999999999999993</v>
      </c>
      <c r="G117">
        <f>C117-D117</f>
        <v>620</v>
      </c>
      <c r="H117">
        <v>17951</v>
      </c>
    </row>
    <row r="118" spans="1:8" x14ac:dyDescent="0.3">
      <c r="A118" s="1">
        <v>45768</v>
      </c>
      <c r="B118" s="2" t="s">
        <v>7</v>
      </c>
      <c r="C118">
        <v>961</v>
      </c>
      <c r="D118">
        <v>358</v>
      </c>
      <c r="E118">
        <v>62942</v>
      </c>
      <c r="F118">
        <v>6.8</v>
      </c>
      <c r="G118">
        <f>C118-D118</f>
        <v>603</v>
      </c>
      <c r="H118">
        <v>18693</v>
      </c>
    </row>
    <row r="119" spans="1:8" x14ac:dyDescent="0.3">
      <c r="A119" s="1">
        <v>45565</v>
      </c>
      <c r="B119" s="2" t="s">
        <v>9</v>
      </c>
      <c r="C119">
        <v>752</v>
      </c>
      <c r="D119">
        <v>153</v>
      </c>
      <c r="E119">
        <v>64906</v>
      </c>
      <c r="F119">
        <v>2.09</v>
      </c>
      <c r="G119">
        <f>C119-D119</f>
        <v>599</v>
      </c>
      <c r="H119">
        <v>12148</v>
      </c>
    </row>
    <row r="120" spans="1:8" x14ac:dyDescent="0.3">
      <c r="A120" s="1">
        <v>45593</v>
      </c>
      <c r="B120" s="2" t="s">
        <v>7</v>
      </c>
      <c r="C120">
        <v>642</v>
      </c>
      <c r="D120">
        <v>66</v>
      </c>
      <c r="E120">
        <v>346522</v>
      </c>
      <c r="F120">
        <v>5.85</v>
      </c>
      <c r="G120">
        <f>C120-D120</f>
        <v>576</v>
      </c>
      <c r="H120">
        <v>13116</v>
      </c>
    </row>
    <row r="121" spans="1:8" x14ac:dyDescent="0.3">
      <c r="A121" s="1">
        <v>45635</v>
      </c>
      <c r="B121" s="2" t="s">
        <v>10</v>
      </c>
      <c r="C121">
        <v>736</v>
      </c>
      <c r="D121">
        <v>163</v>
      </c>
      <c r="E121">
        <v>451894</v>
      </c>
      <c r="F121">
        <v>5.43</v>
      </c>
      <c r="G121">
        <f>C121-D121</f>
        <v>573</v>
      </c>
      <c r="H121">
        <v>46625</v>
      </c>
    </row>
    <row r="122" spans="1:8" x14ac:dyDescent="0.3">
      <c r="A122" s="1">
        <v>45691</v>
      </c>
      <c r="B122" s="2" t="s">
        <v>9</v>
      </c>
      <c r="C122">
        <v>927</v>
      </c>
      <c r="D122">
        <v>358</v>
      </c>
      <c r="E122">
        <v>177554</v>
      </c>
      <c r="F122">
        <v>6.95</v>
      </c>
      <c r="G122">
        <f>C122-D122</f>
        <v>569</v>
      </c>
      <c r="H122">
        <v>48270</v>
      </c>
    </row>
    <row r="123" spans="1:8" x14ac:dyDescent="0.3">
      <c r="A123" s="1">
        <v>45481</v>
      </c>
      <c r="B123" s="2" t="s">
        <v>9</v>
      </c>
      <c r="C123">
        <v>987</v>
      </c>
      <c r="D123">
        <v>440</v>
      </c>
      <c r="E123">
        <v>389810</v>
      </c>
      <c r="F123">
        <v>4.66</v>
      </c>
      <c r="G123">
        <f>C123-D123</f>
        <v>547</v>
      </c>
      <c r="H123">
        <v>2932</v>
      </c>
    </row>
    <row r="124" spans="1:8" x14ac:dyDescent="0.3">
      <c r="A124" s="1">
        <v>45502</v>
      </c>
      <c r="B124" s="2" t="s">
        <v>7</v>
      </c>
      <c r="C124">
        <v>653</v>
      </c>
      <c r="D124">
        <v>112</v>
      </c>
      <c r="E124">
        <v>23664</v>
      </c>
      <c r="F124">
        <v>4.05</v>
      </c>
      <c r="G124">
        <f>C124-D124</f>
        <v>541</v>
      </c>
      <c r="H124">
        <v>15353</v>
      </c>
    </row>
    <row r="125" spans="1:8" x14ac:dyDescent="0.3">
      <c r="A125" s="1">
        <v>45600</v>
      </c>
      <c r="B125" s="2" t="s">
        <v>8</v>
      </c>
      <c r="C125">
        <v>947</v>
      </c>
      <c r="D125">
        <v>407</v>
      </c>
      <c r="E125">
        <v>319186</v>
      </c>
      <c r="F125">
        <v>3.32</v>
      </c>
      <c r="G125">
        <f>C125-D125</f>
        <v>540</v>
      </c>
      <c r="H125">
        <v>4996</v>
      </c>
    </row>
    <row r="126" spans="1:8" x14ac:dyDescent="0.3">
      <c r="A126" s="1">
        <v>45453</v>
      </c>
      <c r="B126" s="2" t="s">
        <v>7</v>
      </c>
      <c r="C126">
        <v>656</v>
      </c>
      <c r="D126">
        <v>139</v>
      </c>
      <c r="E126">
        <v>49157</v>
      </c>
      <c r="F126">
        <v>9.0500000000000007</v>
      </c>
      <c r="G126">
        <f>C126-D126</f>
        <v>517</v>
      </c>
      <c r="H126">
        <v>9920</v>
      </c>
    </row>
    <row r="127" spans="1:8" x14ac:dyDescent="0.3">
      <c r="A127" s="1">
        <v>45481</v>
      </c>
      <c r="B127" s="2" t="s">
        <v>10</v>
      </c>
      <c r="C127">
        <v>883</v>
      </c>
      <c r="D127">
        <v>369</v>
      </c>
      <c r="E127">
        <v>233694</v>
      </c>
      <c r="F127">
        <v>2.88</v>
      </c>
      <c r="G127">
        <f>C127-D127</f>
        <v>514</v>
      </c>
      <c r="H127">
        <v>15071</v>
      </c>
    </row>
    <row r="128" spans="1:8" x14ac:dyDescent="0.3">
      <c r="A128" s="1">
        <v>45747</v>
      </c>
      <c r="B128" s="2" t="s">
        <v>8</v>
      </c>
      <c r="C128">
        <v>988</v>
      </c>
      <c r="D128">
        <v>474</v>
      </c>
      <c r="E128">
        <v>370070</v>
      </c>
      <c r="F128">
        <v>9.4600000000000009</v>
      </c>
      <c r="G128">
        <f>C128-D128</f>
        <v>514</v>
      </c>
      <c r="H128">
        <v>23461</v>
      </c>
    </row>
    <row r="129" spans="1:8" x14ac:dyDescent="0.3">
      <c r="A129" s="1">
        <v>45502</v>
      </c>
      <c r="B129" s="2" t="s">
        <v>10</v>
      </c>
      <c r="C129">
        <v>576</v>
      </c>
      <c r="D129">
        <v>101</v>
      </c>
      <c r="E129">
        <v>62499</v>
      </c>
      <c r="F129">
        <v>3.48</v>
      </c>
      <c r="G129">
        <f>C129-D129</f>
        <v>475</v>
      </c>
      <c r="H129">
        <v>16804</v>
      </c>
    </row>
    <row r="130" spans="1:8" x14ac:dyDescent="0.3">
      <c r="A130" s="1">
        <v>45740</v>
      </c>
      <c r="B130" s="2" t="s">
        <v>8</v>
      </c>
      <c r="C130">
        <v>609</v>
      </c>
      <c r="D130">
        <v>135</v>
      </c>
      <c r="E130">
        <v>373606</v>
      </c>
      <c r="F130">
        <v>8.52</v>
      </c>
      <c r="G130">
        <f>C130-D130</f>
        <v>474</v>
      </c>
      <c r="H130">
        <v>21453</v>
      </c>
    </row>
    <row r="131" spans="1:8" x14ac:dyDescent="0.3">
      <c r="A131" s="1">
        <v>45740</v>
      </c>
      <c r="B131" s="2" t="s">
        <v>7</v>
      </c>
      <c r="C131">
        <v>490</v>
      </c>
      <c r="D131">
        <v>29</v>
      </c>
      <c r="E131">
        <v>364810</v>
      </c>
      <c r="F131">
        <v>1.53</v>
      </c>
      <c r="G131">
        <f>C131-D131</f>
        <v>461</v>
      </c>
      <c r="H131">
        <v>49077</v>
      </c>
    </row>
    <row r="132" spans="1:8" x14ac:dyDescent="0.3">
      <c r="A132" s="1">
        <v>45775</v>
      </c>
      <c r="B132" s="2" t="s">
        <v>8</v>
      </c>
      <c r="C132">
        <v>833</v>
      </c>
      <c r="D132">
        <v>380</v>
      </c>
      <c r="E132">
        <v>224830</v>
      </c>
      <c r="F132">
        <v>3.86</v>
      </c>
      <c r="G132">
        <f>C132-D132</f>
        <v>453</v>
      </c>
      <c r="H132">
        <v>3582</v>
      </c>
    </row>
    <row r="133" spans="1:8" x14ac:dyDescent="0.3">
      <c r="A133" s="1">
        <v>45614</v>
      </c>
      <c r="B133" s="2" t="s">
        <v>9</v>
      </c>
      <c r="C133">
        <v>628</v>
      </c>
      <c r="D133">
        <v>183</v>
      </c>
      <c r="E133">
        <v>487523</v>
      </c>
      <c r="F133">
        <v>7.32</v>
      </c>
      <c r="G133">
        <f>C133-D133</f>
        <v>445</v>
      </c>
      <c r="H133">
        <v>5391</v>
      </c>
    </row>
    <row r="134" spans="1:8" x14ac:dyDescent="0.3">
      <c r="A134" s="1">
        <v>45586</v>
      </c>
      <c r="B134" s="2" t="s">
        <v>8</v>
      </c>
      <c r="C134">
        <v>508</v>
      </c>
      <c r="D134">
        <v>69</v>
      </c>
      <c r="E134">
        <v>23492</v>
      </c>
      <c r="F134">
        <v>3.16</v>
      </c>
      <c r="G134">
        <f>C134-D134</f>
        <v>439</v>
      </c>
      <c r="H134">
        <v>42824</v>
      </c>
    </row>
    <row r="135" spans="1:8" x14ac:dyDescent="0.3">
      <c r="A135" s="1">
        <v>45488</v>
      </c>
      <c r="B135" s="2" t="s">
        <v>9</v>
      </c>
      <c r="C135">
        <v>704</v>
      </c>
      <c r="D135">
        <v>275</v>
      </c>
      <c r="E135">
        <v>226002</v>
      </c>
      <c r="F135">
        <v>8.56</v>
      </c>
      <c r="G135">
        <f>C135-D135</f>
        <v>429</v>
      </c>
      <c r="H135">
        <v>32393</v>
      </c>
    </row>
    <row r="136" spans="1:8" x14ac:dyDescent="0.3">
      <c r="A136" s="1">
        <v>45677</v>
      </c>
      <c r="B136" s="2" t="s">
        <v>8</v>
      </c>
      <c r="C136">
        <v>663</v>
      </c>
      <c r="D136">
        <v>236</v>
      </c>
      <c r="E136">
        <v>479490</v>
      </c>
      <c r="F136">
        <v>4.51</v>
      </c>
      <c r="G136">
        <f>C136-D136</f>
        <v>427</v>
      </c>
      <c r="H136">
        <v>23853</v>
      </c>
    </row>
    <row r="137" spans="1:8" x14ac:dyDescent="0.3">
      <c r="A137" s="1">
        <v>45446</v>
      </c>
      <c r="B137" s="2" t="s">
        <v>9</v>
      </c>
      <c r="C137">
        <v>584</v>
      </c>
      <c r="D137">
        <v>169</v>
      </c>
      <c r="E137">
        <v>146834</v>
      </c>
      <c r="F137">
        <v>8.31</v>
      </c>
      <c r="G137">
        <f>C137-D137</f>
        <v>415</v>
      </c>
      <c r="H137">
        <v>26752</v>
      </c>
    </row>
    <row r="138" spans="1:8" x14ac:dyDescent="0.3">
      <c r="A138" s="1">
        <v>45789</v>
      </c>
      <c r="B138" s="2" t="s">
        <v>8</v>
      </c>
      <c r="C138">
        <v>837</v>
      </c>
      <c r="D138">
        <v>430</v>
      </c>
      <c r="E138">
        <v>364820</v>
      </c>
      <c r="F138">
        <v>4</v>
      </c>
      <c r="G138">
        <f>C138-D138</f>
        <v>407</v>
      </c>
      <c r="H138">
        <v>49400</v>
      </c>
    </row>
    <row r="139" spans="1:8" x14ac:dyDescent="0.3">
      <c r="A139" s="1">
        <v>45740</v>
      </c>
      <c r="B139" s="2" t="s">
        <v>10</v>
      </c>
      <c r="C139">
        <v>442</v>
      </c>
      <c r="D139">
        <v>53</v>
      </c>
      <c r="E139">
        <v>441931</v>
      </c>
      <c r="F139">
        <v>1.87</v>
      </c>
      <c r="G139">
        <f>C139-D139</f>
        <v>389</v>
      </c>
      <c r="H139">
        <v>20059</v>
      </c>
    </row>
    <row r="140" spans="1:8" x14ac:dyDescent="0.3">
      <c r="A140" s="1">
        <v>45593</v>
      </c>
      <c r="B140" s="2" t="s">
        <v>8</v>
      </c>
      <c r="C140">
        <v>859</v>
      </c>
      <c r="D140">
        <v>473</v>
      </c>
      <c r="E140">
        <v>209987</v>
      </c>
      <c r="F140">
        <v>4.46</v>
      </c>
      <c r="G140">
        <f>C140-D140</f>
        <v>386</v>
      </c>
      <c r="H140">
        <v>30214</v>
      </c>
    </row>
    <row r="141" spans="1:8" x14ac:dyDescent="0.3">
      <c r="A141" s="1">
        <v>45551</v>
      </c>
      <c r="B141" s="2" t="s">
        <v>7</v>
      </c>
      <c r="C141">
        <v>778</v>
      </c>
      <c r="D141">
        <v>401</v>
      </c>
      <c r="E141">
        <v>50793</v>
      </c>
      <c r="F141">
        <v>3.4</v>
      </c>
      <c r="G141">
        <f>C141-D141</f>
        <v>377</v>
      </c>
      <c r="H141">
        <v>21939</v>
      </c>
    </row>
    <row r="142" spans="1:8" x14ac:dyDescent="0.3">
      <c r="A142" s="1">
        <v>45579</v>
      </c>
      <c r="B142" s="2" t="s">
        <v>10</v>
      </c>
      <c r="C142">
        <v>414</v>
      </c>
      <c r="D142">
        <v>47</v>
      </c>
      <c r="E142">
        <v>199178</v>
      </c>
      <c r="F142">
        <v>1.53</v>
      </c>
      <c r="G142">
        <f>C142-D142</f>
        <v>367</v>
      </c>
      <c r="H142">
        <v>6742</v>
      </c>
    </row>
    <row r="143" spans="1:8" x14ac:dyDescent="0.3">
      <c r="A143" s="1">
        <v>45509</v>
      </c>
      <c r="B143" s="2" t="s">
        <v>7</v>
      </c>
      <c r="C143">
        <v>645</v>
      </c>
      <c r="D143">
        <v>293</v>
      </c>
      <c r="E143">
        <v>437968</v>
      </c>
      <c r="F143">
        <v>7.83</v>
      </c>
      <c r="G143">
        <f>C143-D143</f>
        <v>352</v>
      </c>
      <c r="H143">
        <v>49303</v>
      </c>
    </row>
    <row r="144" spans="1:8" x14ac:dyDescent="0.3">
      <c r="A144" s="1">
        <v>45607</v>
      </c>
      <c r="B144" s="2" t="s">
        <v>10</v>
      </c>
      <c r="C144">
        <v>454</v>
      </c>
      <c r="D144">
        <v>105</v>
      </c>
      <c r="E144">
        <v>121091</v>
      </c>
      <c r="F144">
        <v>7.97</v>
      </c>
      <c r="G144">
        <f>C144-D144</f>
        <v>349</v>
      </c>
      <c r="H144">
        <v>9269</v>
      </c>
    </row>
    <row r="145" spans="1:8" x14ac:dyDescent="0.3">
      <c r="A145" s="1">
        <v>45782</v>
      </c>
      <c r="B145" s="2" t="s">
        <v>8</v>
      </c>
      <c r="C145">
        <v>405</v>
      </c>
      <c r="D145">
        <v>66</v>
      </c>
      <c r="E145">
        <v>418696</v>
      </c>
      <c r="F145">
        <v>5.59</v>
      </c>
      <c r="G145">
        <f>C145-D145</f>
        <v>339</v>
      </c>
      <c r="H145">
        <v>48419</v>
      </c>
    </row>
    <row r="146" spans="1:8" x14ac:dyDescent="0.3">
      <c r="A146" s="1">
        <v>45460</v>
      </c>
      <c r="B146" s="2" t="s">
        <v>10</v>
      </c>
      <c r="C146">
        <v>403</v>
      </c>
      <c r="D146">
        <v>66</v>
      </c>
      <c r="E146">
        <v>382851</v>
      </c>
      <c r="F146">
        <v>3.49</v>
      </c>
      <c r="G146">
        <f>C146-D146</f>
        <v>337</v>
      </c>
      <c r="H146">
        <v>24313</v>
      </c>
    </row>
    <row r="147" spans="1:8" x14ac:dyDescent="0.3">
      <c r="A147" s="1">
        <v>45537</v>
      </c>
      <c r="B147" s="2" t="s">
        <v>10</v>
      </c>
      <c r="C147">
        <v>728</v>
      </c>
      <c r="D147">
        <v>395</v>
      </c>
      <c r="E147">
        <v>370971</v>
      </c>
      <c r="F147">
        <v>3.86</v>
      </c>
      <c r="G147">
        <f>C147-D147</f>
        <v>333</v>
      </c>
      <c r="H147">
        <v>12646</v>
      </c>
    </row>
    <row r="148" spans="1:8" x14ac:dyDescent="0.3">
      <c r="A148" s="1">
        <v>45509</v>
      </c>
      <c r="B148" s="2" t="s">
        <v>9</v>
      </c>
      <c r="C148">
        <v>826</v>
      </c>
      <c r="D148">
        <v>498</v>
      </c>
      <c r="E148">
        <v>449994</v>
      </c>
      <c r="F148">
        <v>9.43</v>
      </c>
      <c r="G148">
        <f>C148-D148</f>
        <v>328</v>
      </c>
      <c r="H148">
        <v>12384</v>
      </c>
    </row>
    <row r="149" spans="1:8" x14ac:dyDescent="0.3">
      <c r="A149" s="1">
        <v>45509</v>
      </c>
      <c r="B149" s="2" t="s">
        <v>10</v>
      </c>
      <c r="C149">
        <v>460</v>
      </c>
      <c r="D149">
        <v>141</v>
      </c>
      <c r="E149">
        <v>320650</v>
      </c>
      <c r="F149">
        <v>4.04</v>
      </c>
      <c r="G149">
        <f>C149-D149</f>
        <v>319</v>
      </c>
      <c r="H149">
        <v>49372</v>
      </c>
    </row>
    <row r="150" spans="1:8" x14ac:dyDescent="0.3">
      <c r="A150" s="1">
        <v>45495</v>
      </c>
      <c r="B150" s="2" t="s">
        <v>10</v>
      </c>
      <c r="C150">
        <v>804</v>
      </c>
      <c r="D150">
        <v>487</v>
      </c>
      <c r="E150">
        <v>306564</v>
      </c>
      <c r="F150">
        <v>5.52</v>
      </c>
      <c r="G150">
        <f>C150-D150</f>
        <v>317</v>
      </c>
      <c r="H150">
        <v>26452</v>
      </c>
    </row>
    <row r="151" spans="1:8" x14ac:dyDescent="0.3">
      <c r="A151" s="1">
        <v>45719</v>
      </c>
      <c r="B151" s="2" t="s">
        <v>10</v>
      </c>
      <c r="C151">
        <v>510</v>
      </c>
      <c r="D151">
        <v>195</v>
      </c>
      <c r="E151">
        <v>224534</v>
      </c>
      <c r="F151">
        <v>9.4</v>
      </c>
      <c r="G151">
        <f>C151-D151</f>
        <v>315</v>
      </c>
      <c r="H151">
        <v>30987</v>
      </c>
    </row>
    <row r="152" spans="1:8" x14ac:dyDescent="0.3">
      <c r="A152" s="1">
        <v>45481</v>
      </c>
      <c r="B152" s="2" t="s">
        <v>8</v>
      </c>
      <c r="C152">
        <v>350</v>
      </c>
      <c r="D152">
        <v>41</v>
      </c>
      <c r="E152">
        <v>251694</v>
      </c>
      <c r="F152">
        <v>1.91</v>
      </c>
      <c r="G152">
        <f>C152-D152</f>
        <v>309</v>
      </c>
      <c r="H152">
        <v>38610</v>
      </c>
    </row>
    <row r="153" spans="1:8" x14ac:dyDescent="0.3">
      <c r="A153" s="1">
        <v>45670</v>
      </c>
      <c r="B153" s="2" t="s">
        <v>8</v>
      </c>
      <c r="C153">
        <v>651</v>
      </c>
      <c r="D153">
        <v>353</v>
      </c>
      <c r="E153">
        <v>224699</v>
      </c>
      <c r="F153">
        <v>5.61</v>
      </c>
      <c r="G153">
        <f>C153-D153</f>
        <v>298</v>
      </c>
      <c r="H153">
        <v>45708</v>
      </c>
    </row>
    <row r="154" spans="1:8" x14ac:dyDescent="0.3">
      <c r="A154" s="1">
        <v>45740</v>
      </c>
      <c r="B154" s="2" t="s">
        <v>9</v>
      </c>
      <c r="C154">
        <v>364</v>
      </c>
      <c r="D154">
        <v>72</v>
      </c>
      <c r="E154">
        <v>211090</v>
      </c>
      <c r="F154">
        <v>5.53</v>
      </c>
      <c r="G154">
        <f>C154-D154</f>
        <v>292</v>
      </c>
      <c r="H154">
        <v>21061</v>
      </c>
    </row>
    <row r="155" spans="1:8" x14ac:dyDescent="0.3">
      <c r="A155" s="1">
        <v>45628</v>
      </c>
      <c r="B155" s="2" t="s">
        <v>10</v>
      </c>
      <c r="C155">
        <v>452</v>
      </c>
      <c r="D155">
        <v>161</v>
      </c>
      <c r="E155">
        <v>221274</v>
      </c>
      <c r="F155">
        <v>2.65</v>
      </c>
      <c r="G155">
        <f>C155-D155</f>
        <v>291</v>
      </c>
      <c r="H155">
        <v>40888</v>
      </c>
    </row>
    <row r="156" spans="1:8" x14ac:dyDescent="0.3">
      <c r="A156" s="1">
        <v>45579</v>
      </c>
      <c r="B156" s="2" t="s">
        <v>8</v>
      </c>
      <c r="C156">
        <v>643</v>
      </c>
      <c r="D156">
        <v>358</v>
      </c>
      <c r="E156">
        <v>157599</v>
      </c>
      <c r="F156">
        <v>3.88</v>
      </c>
      <c r="G156">
        <f>C156-D156</f>
        <v>285</v>
      </c>
      <c r="H156">
        <v>7285</v>
      </c>
    </row>
    <row r="157" spans="1:8" x14ac:dyDescent="0.3">
      <c r="A157" s="1">
        <v>45789</v>
      </c>
      <c r="B157" s="2" t="s">
        <v>9</v>
      </c>
      <c r="C157">
        <v>337</v>
      </c>
      <c r="D157">
        <v>68</v>
      </c>
      <c r="E157">
        <v>456298</v>
      </c>
      <c r="F157">
        <v>7.57</v>
      </c>
      <c r="G157">
        <f>C157-D157</f>
        <v>269</v>
      </c>
      <c r="H157">
        <v>4007</v>
      </c>
    </row>
    <row r="158" spans="1:8" x14ac:dyDescent="0.3">
      <c r="A158" s="1">
        <v>45586</v>
      </c>
      <c r="B158" s="2" t="s">
        <v>7</v>
      </c>
      <c r="C158">
        <v>703</v>
      </c>
      <c r="D158">
        <v>441</v>
      </c>
      <c r="E158">
        <v>357089</v>
      </c>
      <c r="F158">
        <v>6.5</v>
      </c>
      <c r="G158">
        <f>C158-D158</f>
        <v>262</v>
      </c>
      <c r="H158">
        <v>32478</v>
      </c>
    </row>
    <row r="159" spans="1:8" x14ac:dyDescent="0.3">
      <c r="A159" s="1">
        <v>45544</v>
      </c>
      <c r="B159" s="2" t="s">
        <v>9</v>
      </c>
      <c r="C159">
        <v>751</v>
      </c>
      <c r="D159">
        <v>491</v>
      </c>
      <c r="E159">
        <v>434047</v>
      </c>
      <c r="F159">
        <v>9.24</v>
      </c>
      <c r="G159">
        <f>C159-D159</f>
        <v>260</v>
      </c>
      <c r="H159">
        <v>15476</v>
      </c>
    </row>
    <row r="160" spans="1:8" x14ac:dyDescent="0.3">
      <c r="A160" s="1">
        <v>45726</v>
      </c>
      <c r="B160" s="2" t="s">
        <v>7</v>
      </c>
      <c r="C160">
        <v>393</v>
      </c>
      <c r="D160">
        <v>181</v>
      </c>
      <c r="E160">
        <v>462142</v>
      </c>
      <c r="F160">
        <v>7.23</v>
      </c>
      <c r="G160">
        <f>C160-D160</f>
        <v>212</v>
      </c>
      <c r="H160">
        <v>6296</v>
      </c>
    </row>
    <row r="161" spans="1:8" x14ac:dyDescent="0.3">
      <c r="A161" s="1">
        <v>45754</v>
      </c>
      <c r="B161" s="2" t="s">
        <v>10</v>
      </c>
      <c r="C161">
        <v>623</v>
      </c>
      <c r="D161">
        <v>414</v>
      </c>
      <c r="E161">
        <v>290354</v>
      </c>
      <c r="F161">
        <v>6.49</v>
      </c>
      <c r="G161">
        <f>C161-D161</f>
        <v>209</v>
      </c>
      <c r="H161">
        <v>39923</v>
      </c>
    </row>
    <row r="162" spans="1:8" x14ac:dyDescent="0.3">
      <c r="A162" s="1">
        <v>45537</v>
      </c>
      <c r="B162" s="2" t="s">
        <v>9</v>
      </c>
      <c r="C162">
        <v>557</v>
      </c>
      <c r="D162">
        <v>360</v>
      </c>
      <c r="E162">
        <v>318779</v>
      </c>
      <c r="F162">
        <v>8.02</v>
      </c>
      <c r="G162">
        <f>C162-D162</f>
        <v>197</v>
      </c>
      <c r="H162">
        <v>25797</v>
      </c>
    </row>
    <row r="163" spans="1:8" x14ac:dyDescent="0.3">
      <c r="A163" s="1">
        <v>45523</v>
      </c>
      <c r="B163" s="2" t="s">
        <v>10</v>
      </c>
      <c r="C163">
        <v>221</v>
      </c>
      <c r="D163">
        <v>31</v>
      </c>
      <c r="E163">
        <v>87443</v>
      </c>
      <c r="F163">
        <v>6.19</v>
      </c>
      <c r="G163">
        <f>C163-D163</f>
        <v>190</v>
      </c>
      <c r="H163">
        <v>10283</v>
      </c>
    </row>
    <row r="164" spans="1:8" x14ac:dyDescent="0.3">
      <c r="A164" s="1">
        <v>45453</v>
      </c>
      <c r="B164" s="2" t="s">
        <v>9</v>
      </c>
      <c r="C164">
        <v>436</v>
      </c>
      <c r="D164">
        <v>250</v>
      </c>
      <c r="E164">
        <v>254347</v>
      </c>
      <c r="F164">
        <v>4.01</v>
      </c>
      <c r="G164">
        <f>C164-D164</f>
        <v>186</v>
      </c>
      <c r="H164">
        <v>8912</v>
      </c>
    </row>
    <row r="165" spans="1:8" x14ac:dyDescent="0.3">
      <c r="A165" s="1">
        <v>45754</v>
      </c>
      <c r="B165" s="2" t="s">
        <v>7</v>
      </c>
      <c r="C165">
        <v>559</v>
      </c>
      <c r="D165">
        <v>392</v>
      </c>
      <c r="E165">
        <v>78789</v>
      </c>
      <c r="F165">
        <v>3.19</v>
      </c>
      <c r="G165">
        <f>C165-D165</f>
        <v>167</v>
      </c>
      <c r="H165">
        <v>2436</v>
      </c>
    </row>
    <row r="166" spans="1:8" x14ac:dyDescent="0.3">
      <c r="A166" s="1">
        <v>45488</v>
      </c>
      <c r="B166" s="2" t="s">
        <v>10</v>
      </c>
      <c r="C166">
        <v>224</v>
      </c>
      <c r="D166">
        <v>64</v>
      </c>
      <c r="E166">
        <v>156683</v>
      </c>
      <c r="F166">
        <v>4.5599999999999996</v>
      </c>
      <c r="G166">
        <f>C166-D166</f>
        <v>160</v>
      </c>
      <c r="H166">
        <v>28474</v>
      </c>
    </row>
    <row r="167" spans="1:8" x14ac:dyDescent="0.3">
      <c r="A167" s="1">
        <v>45495</v>
      </c>
      <c r="B167" s="2" t="s">
        <v>7</v>
      </c>
      <c r="C167">
        <v>508</v>
      </c>
      <c r="D167">
        <v>349</v>
      </c>
      <c r="E167">
        <v>473812</v>
      </c>
      <c r="F167">
        <v>7.88</v>
      </c>
      <c r="G167">
        <f>C167-D167</f>
        <v>159</v>
      </c>
      <c r="H167">
        <v>17328</v>
      </c>
    </row>
    <row r="168" spans="1:8" x14ac:dyDescent="0.3">
      <c r="A168" s="1">
        <v>45761</v>
      </c>
      <c r="B168" s="2" t="s">
        <v>10</v>
      </c>
      <c r="C168">
        <v>520</v>
      </c>
      <c r="D168">
        <v>375</v>
      </c>
      <c r="E168">
        <v>369525</v>
      </c>
      <c r="F168">
        <v>6.54</v>
      </c>
      <c r="G168">
        <f>C168-D168</f>
        <v>145</v>
      </c>
      <c r="H168">
        <v>20733</v>
      </c>
    </row>
    <row r="169" spans="1:8" x14ac:dyDescent="0.3">
      <c r="A169" s="1">
        <v>45572</v>
      </c>
      <c r="B169" s="2" t="s">
        <v>10</v>
      </c>
      <c r="C169">
        <v>307</v>
      </c>
      <c r="D169">
        <v>189</v>
      </c>
      <c r="E169">
        <v>117767</v>
      </c>
      <c r="F169">
        <v>9.3000000000000007</v>
      </c>
      <c r="G169">
        <f>C169-D169</f>
        <v>118</v>
      </c>
      <c r="H169">
        <v>27822</v>
      </c>
    </row>
    <row r="170" spans="1:8" x14ac:dyDescent="0.3">
      <c r="A170" s="1">
        <v>45572</v>
      </c>
      <c r="B170" s="2" t="s">
        <v>9</v>
      </c>
      <c r="C170">
        <v>437</v>
      </c>
      <c r="D170">
        <v>330</v>
      </c>
      <c r="E170">
        <v>476486</v>
      </c>
      <c r="F170">
        <v>4.97</v>
      </c>
      <c r="G170">
        <f>C170-D170</f>
        <v>107</v>
      </c>
      <c r="H170">
        <v>4509</v>
      </c>
    </row>
    <row r="171" spans="1:8" x14ac:dyDescent="0.3">
      <c r="A171" s="1">
        <v>45551</v>
      </c>
      <c r="B171" s="2" t="s">
        <v>8</v>
      </c>
      <c r="C171">
        <v>443</v>
      </c>
      <c r="D171">
        <v>345</v>
      </c>
      <c r="E171">
        <v>474162</v>
      </c>
      <c r="F171">
        <v>9.1999999999999993</v>
      </c>
      <c r="G171">
        <f>C171-D171</f>
        <v>98</v>
      </c>
      <c r="H171">
        <v>47462</v>
      </c>
    </row>
    <row r="172" spans="1:8" x14ac:dyDescent="0.3">
      <c r="A172" s="1">
        <v>45621</v>
      </c>
      <c r="B172" s="2" t="s">
        <v>9</v>
      </c>
      <c r="C172">
        <v>330</v>
      </c>
      <c r="D172">
        <v>232</v>
      </c>
      <c r="E172">
        <v>88455</v>
      </c>
      <c r="F172">
        <v>2.69</v>
      </c>
      <c r="G172">
        <f>C172-D172</f>
        <v>98</v>
      </c>
      <c r="H172">
        <v>39530</v>
      </c>
    </row>
    <row r="173" spans="1:8" x14ac:dyDescent="0.3">
      <c r="A173" s="1">
        <v>45474</v>
      </c>
      <c r="B173" s="2" t="s">
        <v>10</v>
      </c>
      <c r="C173">
        <v>144</v>
      </c>
      <c r="D173">
        <v>53</v>
      </c>
      <c r="E173">
        <v>113678</v>
      </c>
      <c r="F173">
        <v>8.7200000000000006</v>
      </c>
      <c r="G173">
        <f>C173-D173</f>
        <v>91</v>
      </c>
      <c r="H173">
        <v>30060</v>
      </c>
    </row>
    <row r="174" spans="1:8" x14ac:dyDescent="0.3">
      <c r="A174" s="1">
        <v>45523</v>
      </c>
      <c r="B174" s="2" t="s">
        <v>7</v>
      </c>
      <c r="C174">
        <v>215</v>
      </c>
      <c r="D174">
        <v>139</v>
      </c>
      <c r="E174">
        <v>325444</v>
      </c>
      <c r="F174">
        <v>3.25</v>
      </c>
      <c r="G174">
        <f>C174-D174</f>
        <v>76</v>
      </c>
      <c r="H174">
        <v>35501</v>
      </c>
    </row>
    <row r="175" spans="1:8" x14ac:dyDescent="0.3">
      <c r="A175" s="1">
        <v>45614</v>
      </c>
      <c r="B175" s="2" t="s">
        <v>8</v>
      </c>
      <c r="C175">
        <v>513</v>
      </c>
      <c r="D175">
        <v>441</v>
      </c>
      <c r="E175">
        <v>338847</v>
      </c>
      <c r="F175">
        <v>2.68</v>
      </c>
      <c r="G175">
        <f>C175-D175</f>
        <v>72</v>
      </c>
      <c r="H175">
        <v>39997</v>
      </c>
    </row>
    <row r="176" spans="1:8" x14ac:dyDescent="0.3">
      <c r="A176" s="1">
        <v>45474</v>
      </c>
      <c r="B176" s="2" t="s">
        <v>8</v>
      </c>
      <c r="C176">
        <v>505</v>
      </c>
      <c r="D176">
        <v>441</v>
      </c>
      <c r="E176">
        <v>220020</v>
      </c>
      <c r="F176">
        <v>4.4800000000000004</v>
      </c>
      <c r="G176">
        <f>C176-D176</f>
        <v>64</v>
      </c>
      <c r="H176">
        <v>42307</v>
      </c>
    </row>
    <row r="177" spans="1:8" x14ac:dyDescent="0.3">
      <c r="A177" s="1">
        <v>45614</v>
      </c>
      <c r="B177" s="2" t="s">
        <v>10</v>
      </c>
      <c r="C177">
        <v>278</v>
      </c>
      <c r="D177">
        <v>218</v>
      </c>
      <c r="E177">
        <v>301695</v>
      </c>
      <c r="F177">
        <v>4.68</v>
      </c>
      <c r="G177">
        <f>C177-D177</f>
        <v>60</v>
      </c>
      <c r="H177">
        <v>22373</v>
      </c>
    </row>
    <row r="178" spans="1:8" x14ac:dyDescent="0.3">
      <c r="A178" s="1">
        <v>45761</v>
      </c>
      <c r="B178" s="2" t="s">
        <v>9</v>
      </c>
      <c r="C178">
        <v>353</v>
      </c>
      <c r="D178">
        <v>300</v>
      </c>
      <c r="E178">
        <v>142507</v>
      </c>
      <c r="F178">
        <v>5.3</v>
      </c>
      <c r="G178">
        <f>C178-D178</f>
        <v>53</v>
      </c>
      <c r="H178">
        <v>11035</v>
      </c>
    </row>
    <row r="179" spans="1:8" x14ac:dyDescent="0.3">
      <c r="A179" s="1">
        <v>45516</v>
      </c>
      <c r="B179" s="2" t="s">
        <v>9</v>
      </c>
      <c r="C179">
        <v>485</v>
      </c>
      <c r="D179">
        <v>448</v>
      </c>
      <c r="E179">
        <v>434883</v>
      </c>
      <c r="F179">
        <v>8.5500000000000007</v>
      </c>
      <c r="G179">
        <f>C179-D179</f>
        <v>37</v>
      </c>
      <c r="H179">
        <v>33258</v>
      </c>
    </row>
    <row r="180" spans="1:8" x14ac:dyDescent="0.3">
      <c r="A180" s="1">
        <v>45530</v>
      </c>
      <c r="B180" s="2" t="s">
        <v>8</v>
      </c>
      <c r="C180">
        <v>248</v>
      </c>
      <c r="D180">
        <v>211</v>
      </c>
      <c r="E180">
        <v>379380</v>
      </c>
      <c r="F180">
        <v>9.0399999999999991</v>
      </c>
      <c r="G180">
        <f>C180-D180</f>
        <v>37</v>
      </c>
      <c r="H180">
        <v>26925</v>
      </c>
    </row>
    <row r="181" spans="1:8" x14ac:dyDescent="0.3">
      <c r="A181" s="1">
        <v>45593</v>
      </c>
      <c r="B181" s="2" t="s">
        <v>9</v>
      </c>
      <c r="C181">
        <v>191</v>
      </c>
      <c r="D181">
        <v>154</v>
      </c>
      <c r="E181">
        <v>240550</v>
      </c>
      <c r="F181">
        <v>5.22</v>
      </c>
      <c r="G181">
        <f>C181-D181</f>
        <v>37</v>
      </c>
      <c r="H181">
        <v>15827</v>
      </c>
    </row>
    <row r="182" spans="1:8" x14ac:dyDescent="0.3">
      <c r="A182" s="1">
        <v>45530</v>
      </c>
      <c r="B182" s="2" t="s">
        <v>10</v>
      </c>
      <c r="C182">
        <v>422</v>
      </c>
      <c r="D182">
        <v>394</v>
      </c>
      <c r="E182">
        <v>239044</v>
      </c>
      <c r="F182">
        <v>7.83</v>
      </c>
      <c r="G182">
        <f>C182-D182</f>
        <v>28</v>
      </c>
      <c r="H182">
        <v>32929</v>
      </c>
    </row>
    <row r="183" spans="1:8" x14ac:dyDescent="0.3">
      <c r="A183" s="1">
        <v>45558</v>
      </c>
      <c r="B183" s="2" t="s">
        <v>8</v>
      </c>
      <c r="C183">
        <v>198</v>
      </c>
      <c r="D183">
        <v>217</v>
      </c>
      <c r="E183">
        <v>239753</v>
      </c>
      <c r="F183">
        <v>7.36</v>
      </c>
      <c r="G183">
        <f>C183-D183</f>
        <v>-19</v>
      </c>
      <c r="H183">
        <v>11901</v>
      </c>
    </row>
    <row r="184" spans="1:8" x14ac:dyDescent="0.3">
      <c r="A184" s="1">
        <v>45579</v>
      </c>
      <c r="B184" s="2" t="s">
        <v>9</v>
      </c>
      <c r="C184">
        <v>201</v>
      </c>
      <c r="D184">
        <v>221</v>
      </c>
      <c r="E184">
        <v>309772</v>
      </c>
      <c r="F184">
        <v>5.9</v>
      </c>
      <c r="G184">
        <f>C184-D184</f>
        <v>-20</v>
      </c>
      <c r="H184">
        <v>33174</v>
      </c>
    </row>
    <row r="185" spans="1:8" x14ac:dyDescent="0.3">
      <c r="A185" s="1">
        <v>45551</v>
      </c>
      <c r="B185" s="2" t="s">
        <v>10</v>
      </c>
      <c r="C185">
        <v>123</v>
      </c>
      <c r="D185">
        <v>155</v>
      </c>
      <c r="E185">
        <v>119934</v>
      </c>
      <c r="F185">
        <v>3.5</v>
      </c>
      <c r="G185">
        <f>C185-D185</f>
        <v>-32</v>
      </c>
      <c r="H185">
        <v>5442</v>
      </c>
    </row>
    <row r="186" spans="1:8" x14ac:dyDescent="0.3">
      <c r="A186" s="1">
        <v>45705</v>
      </c>
      <c r="B186" s="2" t="s">
        <v>9</v>
      </c>
      <c r="C186">
        <v>362</v>
      </c>
      <c r="D186">
        <v>399</v>
      </c>
      <c r="E186">
        <v>145608</v>
      </c>
      <c r="F186">
        <v>7.3</v>
      </c>
      <c r="G186">
        <f>C186-D186</f>
        <v>-37</v>
      </c>
      <c r="H186">
        <v>37636</v>
      </c>
    </row>
    <row r="187" spans="1:8" x14ac:dyDescent="0.3">
      <c r="A187" s="1">
        <v>45614</v>
      </c>
      <c r="B187" s="2" t="s">
        <v>7</v>
      </c>
      <c r="C187">
        <v>187</v>
      </c>
      <c r="D187">
        <v>236</v>
      </c>
      <c r="E187">
        <v>51087</v>
      </c>
      <c r="F187">
        <v>9.41</v>
      </c>
      <c r="G187">
        <f>C187-D187</f>
        <v>-49</v>
      </c>
      <c r="H187">
        <v>29533</v>
      </c>
    </row>
    <row r="188" spans="1:8" x14ac:dyDescent="0.3">
      <c r="A188" s="1">
        <v>45607</v>
      </c>
      <c r="B188" s="2" t="s">
        <v>8</v>
      </c>
      <c r="C188">
        <v>171</v>
      </c>
      <c r="D188">
        <v>277</v>
      </c>
      <c r="E188">
        <v>309483</v>
      </c>
      <c r="F188">
        <v>8.6999999999999993</v>
      </c>
      <c r="G188">
        <f>C188-D188</f>
        <v>-106</v>
      </c>
      <c r="H188">
        <v>38452</v>
      </c>
    </row>
    <row r="189" spans="1:8" x14ac:dyDescent="0.3">
      <c r="A189" s="1">
        <v>45719</v>
      </c>
      <c r="B189" s="2" t="s">
        <v>8</v>
      </c>
      <c r="C189">
        <v>345</v>
      </c>
      <c r="D189">
        <v>464</v>
      </c>
      <c r="E189">
        <v>366881</v>
      </c>
      <c r="F189">
        <v>4.55</v>
      </c>
      <c r="G189">
        <f>C189-D189</f>
        <v>-119</v>
      </c>
      <c r="H189">
        <v>20553</v>
      </c>
    </row>
    <row r="190" spans="1:8" x14ac:dyDescent="0.3">
      <c r="A190" s="1">
        <v>45467</v>
      </c>
      <c r="B190" s="2" t="s">
        <v>10</v>
      </c>
      <c r="C190">
        <v>308</v>
      </c>
      <c r="D190">
        <v>431</v>
      </c>
      <c r="E190">
        <v>426184</v>
      </c>
      <c r="F190">
        <v>2.62</v>
      </c>
      <c r="G190">
        <f>C190-D190</f>
        <v>-123</v>
      </c>
      <c r="H190">
        <v>1783</v>
      </c>
    </row>
    <row r="191" spans="1:8" x14ac:dyDescent="0.3">
      <c r="A191" s="1">
        <v>45670</v>
      </c>
      <c r="B191" s="2" t="s">
        <v>9</v>
      </c>
      <c r="C191">
        <v>118</v>
      </c>
      <c r="D191">
        <v>262</v>
      </c>
      <c r="E191">
        <v>487896</v>
      </c>
      <c r="F191">
        <v>2.56</v>
      </c>
      <c r="G191">
        <f>C191-D191</f>
        <v>-144</v>
      </c>
      <c r="H191">
        <v>12350</v>
      </c>
    </row>
    <row r="192" spans="1:8" x14ac:dyDescent="0.3">
      <c r="A192" s="1">
        <v>45761</v>
      </c>
      <c r="B192" s="2" t="s">
        <v>7</v>
      </c>
      <c r="C192">
        <v>198</v>
      </c>
      <c r="D192">
        <v>358</v>
      </c>
      <c r="E192">
        <v>66682</v>
      </c>
      <c r="F192">
        <v>6.73</v>
      </c>
      <c r="G192">
        <f>C192-D192</f>
        <v>-160</v>
      </c>
      <c r="H192">
        <v>2293</v>
      </c>
    </row>
    <row r="193" spans="1:8" x14ac:dyDescent="0.3">
      <c r="A193" s="1">
        <v>45488</v>
      </c>
      <c r="B193" s="2" t="s">
        <v>8</v>
      </c>
      <c r="C193">
        <v>170</v>
      </c>
      <c r="D193">
        <v>334</v>
      </c>
      <c r="E193">
        <v>334626</v>
      </c>
      <c r="F193">
        <v>6.44</v>
      </c>
      <c r="G193">
        <f>C193-D193</f>
        <v>-164</v>
      </c>
      <c r="H193">
        <v>43420</v>
      </c>
    </row>
    <row r="194" spans="1:8" x14ac:dyDescent="0.3">
      <c r="A194" s="1">
        <v>45684</v>
      </c>
      <c r="B194" s="2" t="s">
        <v>7</v>
      </c>
      <c r="C194">
        <v>115</v>
      </c>
      <c r="D194">
        <v>281</v>
      </c>
      <c r="E194">
        <v>357265</v>
      </c>
      <c r="F194">
        <v>9.23</v>
      </c>
      <c r="G194">
        <f>C194-D194</f>
        <v>-166</v>
      </c>
      <c r="H194">
        <v>25525</v>
      </c>
    </row>
    <row r="195" spans="1:8" x14ac:dyDescent="0.3">
      <c r="A195" s="1">
        <v>45761</v>
      </c>
      <c r="B195" s="2" t="s">
        <v>8</v>
      </c>
      <c r="C195">
        <v>198</v>
      </c>
      <c r="D195">
        <v>373</v>
      </c>
      <c r="E195">
        <v>70707</v>
      </c>
      <c r="F195">
        <v>4.83</v>
      </c>
      <c r="G195">
        <f>C195-D195</f>
        <v>-175</v>
      </c>
      <c r="H195">
        <v>25920</v>
      </c>
    </row>
    <row r="196" spans="1:8" x14ac:dyDescent="0.3">
      <c r="A196" s="1">
        <v>45565</v>
      </c>
      <c r="B196" s="2" t="s">
        <v>8</v>
      </c>
      <c r="C196">
        <v>250</v>
      </c>
      <c r="D196">
        <v>429</v>
      </c>
      <c r="E196">
        <v>453423</v>
      </c>
      <c r="F196">
        <v>1.77</v>
      </c>
      <c r="G196">
        <f>C196-D196</f>
        <v>-179</v>
      </c>
      <c r="H196">
        <v>2315</v>
      </c>
    </row>
    <row r="197" spans="1:8" x14ac:dyDescent="0.3">
      <c r="A197" s="1">
        <v>45509</v>
      </c>
      <c r="B197" s="2" t="s">
        <v>8</v>
      </c>
      <c r="C197">
        <v>214</v>
      </c>
      <c r="D197">
        <v>411</v>
      </c>
      <c r="E197">
        <v>125034</v>
      </c>
      <c r="F197">
        <v>6.11</v>
      </c>
      <c r="G197">
        <f>C197-D197</f>
        <v>-197</v>
      </c>
      <c r="H197">
        <v>26455</v>
      </c>
    </row>
    <row r="198" spans="1:8" x14ac:dyDescent="0.3">
      <c r="A198" s="1">
        <v>45691</v>
      </c>
      <c r="B198" s="2" t="s">
        <v>10</v>
      </c>
      <c r="C198">
        <v>152</v>
      </c>
      <c r="D198">
        <v>355</v>
      </c>
      <c r="E198">
        <v>270766</v>
      </c>
      <c r="F198">
        <v>9.48</v>
      </c>
      <c r="G198">
        <f>C198-D198</f>
        <v>-203</v>
      </c>
      <c r="H198">
        <v>18001</v>
      </c>
    </row>
    <row r="199" spans="1:8" x14ac:dyDescent="0.3">
      <c r="A199" s="1">
        <v>45474</v>
      </c>
      <c r="B199" s="2" t="s">
        <v>7</v>
      </c>
      <c r="C199">
        <v>226</v>
      </c>
      <c r="D199">
        <v>445</v>
      </c>
      <c r="E199">
        <v>419447</v>
      </c>
      <c r="F199">
        <v>9.36</v>
      </c>
      <c r="G199">
        <f>C199-D199</f>
        <v>-219</v>
      </c>
      <c r="H199">
        <v>9566</v>
      </c>
    </row>
    <row r="200" spans="1:8" x14ac:dyDescent="0.3">
      <c r="A200" s="1">
        <v>45502</v>
      </c>
      <c r="B200" s="2" t="s">
        <v>8</v>
      </c>
      <c r="C200">
        <v>160</v>
      </c>
      <c r="D200">
        <v>478</v>
      </c>
      <c r="E200">
        <v>435034</v>
      </c>
      <c r="F200">
        <v>7.73</v>
      </c>
      <c r="G200">
        <f>C200-D200</f>
        <v>-318</v>
      </c>
      <c r="H200">
        <v>4839</v>
      </c>
    </row>
    <row r="201" spans="1:8" x14ac:dyDescent="0.3">
      <c r="A201" s="1">
        <v>45789</v>
      </c>
      <c r="B201" s="2" t="s">
        <v>10</v>
      </c>
      <c r="C201">
        <v>119</v>
      </c>
      <c r="D201">
        <v>456</v>
      </c>
      <c r="E201">
        <v>82558</v>
      </c>
      <c r="F201">
        <v>6.81</v>
      </c>
      <c r="G201">
        <f>C201-D201</f>
        <v>-337</v>
      </c>
      <c r="H201">
        <v>12174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5B59B-AF0F-4AD4-B23B-0F5E26247E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Trends</vt:lpstr>
      <vt:lpstr>Correlation</vt:lpstr>
      <vt:lpstr>Data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Inamdar</dc:creator>
  <cp:lastModifiedBy>Ved Inamdar</cp:lastModifiedBy>
  <dcterms:created xsi:type="dcterms:W3CDTF">2025-08-18T14:17:02Z</dcterms:created>
  <dcterms:modified xsi:type="dcterms:W3CDTF">2025-08-18T16:13:06Z</dcterms:modified>
</cp:coreProperties>
</file>