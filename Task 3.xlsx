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Intershala\Project\SM analysis\"/>
    </mc:Choice>
  </mc:AlternateContent>
  <xr:revisionPtr revIDLastSave="0" documentId="13_ncr:1_{C272EFD8-A504-4F1C-B1DF-BB276D9409F9}" xr6:coauthVersionLast="47" xr6:coauthVersionMax="47" xr10:uidLastSave="{00000000-0000-0000-0000-000000000000}"/>
  <bookViews>
    <workbookView xWindow="-108" yWindow="-108" windowWidth="23256" windowHeight="13176" activeTab="1" xr2:uid="{99DD08C4-A2DF-45AF-82B7-556EB13D8628}"/>
  </bookViews>
  <sheets>
    <sheet name="Data Used" sheetId="1" r:id="rId1"/>
    <sheet name="Visualization" sheetId="2" r:id="rId2"/>
  </sheets>
  <definedNames>
    <definedName name="_xlnm._FilterDatabase" localSheetId="0" hidden="1">'Data Used'!$A$1:$G$201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4" i="2"/>
  <c r="G5" i="2"/>
  <c r="G6" i="2"/>
  <c r="G7" i="2"/>
  <c r="G4" i="2"/>
  <c r="N5" i="1"/>
  <c r="N6" i="1"/>
  <c r="N7" i="1"/>
  <c r="N4" i="1"/>
  <c r="H3" i="1"/>
  <c r="M6" i="1" s="1"/>
  <c r="H4" i="1"/>
  <c r="M5" i="1" s="1"/>
  <c r="H5" i="1"/>
  <c r="M7" i="1" s="1"/>
  <c r="H6" i="1"/>
  <c r="M4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L4" i="1"/>
  <c r="L5" i="1"/>
  <c r="L6" i="1"/>
  <c r="L7" i="1"/>
  <c r="H4" i="2" l="1"/>
  <c r="I8" i="2"/>
  <c r="H5" i="2" s="1"/>
  <c r="H7" i="2"/>
  <c r="H6" i="2" l="1"/>
</calcChain>
</file>

<file path=xl/sharedStrings.xml><?xml version="1.0" encoding="utf-8"?>
<sst xmlns="http://schemas.openxmlformats.org/spreadsheetml/2006/main" count="628" uniqueCount="69">
  <si>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</si>
  <si>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</si>
  <si>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</si>
  <si>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</si>
  <si>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</si>
  <si>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</si>
  <si>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</si>
  <si>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2024-06-03</t>
  </si>
  <si>
    <t>Instagram</t>
  </si>
  <si>
    <t>Facebook</t>
  </si>
  <si>
    <t>Twitter</t>
  </si>
  <si>
    <t>YouTube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</si>
  <si>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</si>
  <si>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</si>
  <si>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</si>
  <si>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</si>
  <si>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</si>
  <si>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</si>
  <si>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</si>
  <si>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</si>
  <si>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</si>
  <si>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</si>
  <si>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</si>
  <si>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</si>
  <si>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</si>
  <si>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</si>
  <si>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</si>
  <si>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</si>
  <si>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</si>
  <si>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</si>
  <si>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</si>
  <si>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</si>
  <si>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</si>
  <si>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</si>
  <si>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</si>
  <si>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</si>
  <si>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</si>
  <si>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</si>
  <si>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</si>
  <si>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</si>
  <si>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</si>
  <si>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</si>
  <si>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</si>
  <si>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</si>
  <si>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</si>
  <si>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</si>
  <si>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</si>
  <si>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</si>
  <si>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</si>
  <si>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</si>
  <si>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</si>
  <si>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</si>
  <si>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</si>
  <si>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</si>
  <si>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</si>
  <si>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</si>
  <si>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</si>
  <si>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</si>
  <si>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</si>
  <si>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</si>
  <si>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</si>
  <si>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 xml:space="preserve">Platform </t>
  </si>
  <si>
    <t>Avg Engagement Rate</t>
  </si>
  <si>
    <t>Growth_Rate</t>
  </si>
  <si>
    <t>Avg_Growth Rate</t>
  </si>
  <si>
    <t>Avg_ad_spend</t>
  </si>
  <si>
    <t>Avg_Engagement_Rate</t>
  </si>
  <si>
    <t>Total_Ad_Spend</t>
  </si>
  <si>
    <t>Avg_spend_percentage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</si>
</sst>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/>
    <xf numFmtId="0" fontId="2" fillId="0" borderId="0" xfId="0" applyFont="1"/>
    <xf numFmtId="2" fontId="0" fillId="0" borderId="0" xfId="0" applyNumberFormat="1"/>
    <xf numFmtId="44" fontId="0" fillId="0" borderId="0" xfId="1" applyFont="1"/>
    <xf numFmtId="44" fontId="3" fillId="0" borderId="1" xfId="1" applyFont="1" applyBorder="1" applyAlignment="1">
      <alignment horizontal="center" vertical="top" wrapText="1"/>
    </xf>
    <xf numFmtId="44" fontId="4" fillId="0" borderId="0" xfId="1" applyFont="1"/>
  </cellXfs>
  <cellStyles count="2">
    <cellStyle name="Currency" xfId="1" builtinId="4"/>
    <cellStyle name="Normal" xfId="0" builtinId="0"/>
  </cellStyles>
  <dxfs count="6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Ad_Spend</a:t>
            </a:r>
            <a:r>
              <a:rPr lang="en-US" baseline="0"/>
              <a:t> Vs Engagement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781111111111110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Visualization!$G$3</c:f>
              <c:strCache>
                <c:ptCount val="1"/>
                <c:pt idx="0">
                  <c:v>Avg_Engagement_Rate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Visualization!$F$4:$F$7</c:f>
              <c:strCache>
                <c:ptCount val="4"/>
                <c:pt idx="0">
                  <c:v>Instagram</c:v>
                </c:pt>
                <c:pt idx="1">
                  <c:v>Facebook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Visualization!$G$4:$G$7</c:f>
              <c:numCache>
                <c:formatCode>0.00</c:formatCode>
                <c:ptCount val="4"/>
                <c:pt idx="0">
                  <c:v>5.7156000000000002</c:v>
                </c:pt>
                <c:pt idx="1">
                  <c:v>5.6486000000000001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E-48F2-B21C-39BB49B1A9AB}"/>
            </c:ext>
          </c:extLst>
        </c:ser>
        <c:ser>
          <c:idx val="1"/>
          <c:order val="1"/>
          <c:tx>
            <c:strRef>
              <c:f>Visualization!$H$3</c:f>
              <c:strCache>
                <c:ptCount val="1"/>
                <c:pt idx="0">
                  <c:v>Avg_spend_percentage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Visualization!$F$4:$F$7</c:f>
              <c:strCache>
                <c:ptCount val="4"/>
                <c:pt idx="0">
                  <c:v>Instagram</c:v>
                </c:pt>
                <c:pt idx="1">
                  <c:v>Facebook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Visualization!$H$4:$H$7</c:f>
              <c:numCache>
                <c:formatCode>General</c:formatCode>
                <c:ptCount val="4"/>
                <c:pt idx="0">
                  <c:v>24.092556129674094</c:v>
                </c:pt>
                <c:pt idx="1">
                  <c:v>28.544650889856143</c:v>
                </c:pt>
                <c:pt idx="2">
                  <c:v>21.940315122381602</c:v>
                </c:pt>
                <c:pt idx="3">
                  <c:v>25.422477858088161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E-48F2-B21C-39BB49B1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040624"/>
        <c:axId val="387034864"/>
      </c:barChart>
      <c:catAx>
        <c:axId val="38704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Platforms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34864"/>
        <c:crosses val="autoZero"/>
        <c:auto val="1"/>
        <c:lblAlgn val="ctr"/>
        <c:lblOffset val="100"/>
        <c:noMultiLvlLbl val="0"/>
      </c:catAx>
      <c:valAx>
        <c:axId val="38703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Percentage</a:t>
                </a:r>
                <a:r>
                  <a:rPr lang="en-US" baseline="0"/>
                  <a:t>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4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9</xdr:row>
      <xdr:rowOff>53340</xdr:rowOff>
    </xdr:from>
    <xdr:to>
      <xdr:col>8</xdr:col>
      <xdr:colOff>1120140</xdr:colOff>
      <xdr:row>24</xdr:row>
      <xdr:rowOff>53340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A46B31A-EF13-C442-C610-1D23F7F6C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B8B2C-E9B4-46E2-98BC-B79DA8F58707}" name="Avg_Rate" displayName="Avg_Rate" ref="K3:N7" totalsRowShown="0" headerRowDxfId="3">
  <autoFilter ref="K3:N7" xr:uid="{143B8B2C-E9B4-46E2-98BC-B79DA8F58707}"/>
  <tableColumns count="4">
    <tableColumn id="1" xr3:uid="{65ED40A9-9065-486A-AB6E-A2405D3B3B87}" name="Platform" dataDxfId="5"/>
    <tableColumn id="2" xr3:uid="{B3DD370B-1D1E-42AB-8803-7C829BECD090}" name="Avg Engagement Rate" dataDxfId="4">
      <calculatedColumnFormula>AVERAGEIF(B:B,K4,F:F)</calculatedColumnFormula>
    </tableColumn>
    <tableColumn id="4" xr3:uid="{53C9F946-22BE-4BD5-AC0A-A67A08DC0514}" name="Avg_Growth Rate" dataDxfId="2">
      <calculatedColumnFormula>AVERAGEIF(B:B,Avg_Rate[[#This Row],[Platform]],H:H)</calculatedColumnFormula>
    </tableColumn>
    <tableColumn id="5" xr3:uid="{FE588623-9642-4FD0-B76E-582F68DAC0CA}" name="Avg_ad_spend">
      <calculatedColumnFormula>AVERAGEIF(B:B,Avg_Rate[[#This Row],[Platform]],G:G)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603040-71B7-4857-845C-5AA651B0CE95}" name="Table2" displayName="Table2" ref="F3:I7" totalsRowShown="0">
  <autoFilter ref="F3:I7" xr:uid="{F4603040-71B7-4857-845C-5AA651B0CE95}"/>
  <tableColumns count="4">
    <tableColumn id="1" xr3:uid="{A8B88639-EB2F-4461-A7A4-4203D8E0CB45}" name="Platform " dataDxfId="1"/>
    <tableColumn id="2" xr3:uid="{4E919028-BEC8-42CB-9214-B322343CDE3A}" name="Avg_Engagement_Rate" dataDxfId="0">
      <calculatedColumnFormula>AVERAGEIF(A:A,F4,B:B)</calculatedColumnFormula>
    </tableColumn>
    <tableColumn id="3" xr3:uid="{CF868B21-DA4A-4E7A-992A-8B0E6670F3BA}" name="Avg_spend_percentage">
      <calculatedColumnFormula>I4/$I$8*100</calculatedColumnFormula>
    </tableColumn>
    <tableColumn id="4" xr3:uid="{A82CFC33-2853-422F-B4BF-98E4176F087C}" name="Total_Ad_Spend">
      <calculatedColumnFormula>SUMIF(A:A,F4,C:C)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3F57-CAD3-45E5-96C6-BAAF3B618F09}">
  <dimension ref="A1:N201"/>
  <sheetViews>
    <sheetView workbookViewId="0">
      <selection activeCell="J10" sqref="J10"/>
    </sheetView>
  </sheetViews>
  <sheetFormatPr defaultRowHeight="14.4" x14ac:dyDescent="0.3"/>
  <cols>
    <col min="1" max="1" width="15.77734375" bestFit="1" customWidth="1"/>
    <col min="2" max="2" width="9.109375" bestFit="1" customWidth="1"/>
    <col min="3" max="3" width="9.77734375" bestFit="1" customWidth="1"/>
    <col min="5" max="5" width="13.109375" bestFit="1" customWidth="1"/>
    <col min="6" max="6" width="13.21875" bestFit="1" customWidth="1"/>
    <col min="7" max="7" width="11.109375" style="6" bestFit="1" customWidth="1"/>
    <col min="8" max="8" width="12.5546875" bestFit="1" customWidth="1"/>
    <col min="11" max="11" width="10.21875" customWidth="1"/>
    <col min="12" max="12" width="21.33203125" customWidth="1"/>
    <col min="13" max="13" width="22.33203125" bestFit="1" customWidth="1"/>
  </cols>
  <sheetData>
    <row r="1" spans="1:14" ht="43.2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7" t="s">
        <v>6</v>
      </c>
      <c r="H1" s="4" t="s">
        <v>63</v>
      </c>
    </row>
    <row r="2" spans="1:14" x14ac:dyDescent="0.3">
      <c r="A2" s="3" t="s">
        <v>7</v>
      </c>
      <c r="B2" s="3" t="s">
        <v>8</v>
      </c>
      <c r="C2" s="3">
        <v>1135</v>
      </c>
      <c r="D2" s="3">
        <v>88</v>
      </c>
      <c r="E2" s="3">
        <v>344084</v>
      </c>
      <c r="F2" s="3">
        <v>8.06</v>
      </c>
      <c r="G2" s="8">
        <v>5904</v>
      </c>
      <c r="H2" s="5">
        <f>(C2-D2)/E2*100</f>
        <v>0.30428616268120573</v>
      </c>
    </row>
    <row r="3" spans="1:14" x14ac:dyDescent="0.3">
      <c r="A3" s="3" t="s">
        <v>7</v>
      </c>
      <c r="B3" s="3" t="s">
        <v>9</v>
      </c>
      <c r="C3" s="3">
        <v>1312</v>
      </c>
      <c r="D3" s="3">
        <v>310</v>
      </c>
      <c r="E3" s="3">
        <v>42654</v>
      </c>
      <c r="F3" s="3">
        <v>4.9800000000000004</v>
      </c>
      <c r="G3" s="8">
        <v>9566</v>
      </c>
      <c r="H3" s="5">
        <f t="shared" ref="H3:H66" si="0">(C3-D3)/E3*100</f>
        <v>2.3491348994232664</v>
      </c>
      <c r="K3" s="4" t="s">
        <v>1</v>
      </c>
      <c r="L3" s="4" t="s">
        <v>62</v>
      </c>
      <c r="M3" s="4" t="s">
        <v>64</v>
      </c>
      <c r="N3" s="4" t="s">
        <v>65</v>
      </c>
    </row>
    <row r="4" spans="1:14" x14ac:dyDescent="0.3">
      <c r="A4" s="3" t="s">
        <v>7</v>
      </c>
      <c r="B4" s="3" t="s">
        <v>10</v>
      </c>
      <c r="C4" s="3">
        <v>584</v>
      </c>
      <c r="D4" s="3">
        <v>169</v>
      </c>
      <c r="E4" s="3">
        <v>146834</v>
      </c>
      <c r="F4" s="3">
        <v>8.31</v>
      </c>
      <c r="G4" s="8">
        <v>26752</v>
      </c>
      <c r="H4" s="5">
        <f t="shared" si="0"/>
        <v>0.28263208793603661</v>
      </c>
      <c r="K4" s="3" t="s">
        <v>8</v>
      </c>
      <c r="L4" s="5">
        <f>AVERAGEIF(B:B,K4,F:F)</f>
        <v>5.7156000000000002</v>
      </c>
      <c r="M4" s="5">
        <f>AVERAGEIF(B:B,Avg_Rate[[#This Row],[Platform]],H:H)</f>
        <v>0.57625321264951812</v>
      </c>
      <c r="N4">
        <f>AVERAGEIF(B:B,Avg_Rate[[#This Row],[Platform]],G:G)</f>
        <v>23287.46</v>
      </c>
    </row>
    <row r="5" spans="1:14" x14ac:dyDescent="0.3">
      <c r="A5" s="3" t="s">
        <v>7</v>
      </c>
      <c r="B5" s="3" t="s">
        <v>11</v>
      </c>
      <c r="C5" s="3">
        <v>1535</v>
      </c>
      <c r="D5" s="3">
        <v>445</v>
      </c>
      <c r="E5" s="3">
        <v>395536</v>
      </c>
      <c r="F5" s="3">
        <v>4.1100000000000003</v>
      </c>
      <c r="G5" s="8">
        <v>30671</v>
      </c>
      <c r="H5" s="5">
        <f t="shared" si="0"/>
        <v>0.27557542170624166</v>
      </c>
      <c r="K5" s="3" t="s">
        <v>10</v>
      </c>
      <c r="L5" s="5">
        <f>AVERAGEIF(B:B,K5,F:F)</f>
        <v>5.6558000000000002</v>
      </c>
      <c r="M5" s="5">
        <f>AVERAGEIF(B:B,Avg_Rate[[#This Row],[Platform]],H:H)</f>
        <v>0.92800256766213385</v>
      </c>
      <c r="N5">
        <f>AVERAGEIF(B:B,Avg_Rate[[#This Row],[Platform]],G:G)</f>
        <v>21207.14</v>
      </c>
    </row>
    <row r="6" spans="1:14" x14ac:dyDescent="0.3">
      <c r="A6" s="3" t="s">
        <v>12</v>
      </c>
      <c r="B6" s="3" t="s">
        <v>8</v>
      </c>
      <c r="C6" s="3">
        <v>656</v>
      </c>
      <c r="D6" s="3">
        <v>139</v>
      </c>
      <c r="E6" s="3">
        <v>49157</v>
      </c>
      <c r="F6" s="3">
        <v>9.0500000000000007</v>
      </c>
      <c r="G6" s="8">
        <v>9920</v>
      </c>
      <c r="H6" s="5">
        <f t="shared" si="0"/>
        <v>1.0517322049758935</v>
      </c>
      <c r="K6" s="3" t="s">
        <v>9</v>
      </c>
      <c r="L6" s="5">
        <f>AVERAGEIF(B:B,K6,F:F)</f>
        <v>5.6486000000000001</v>
      </c>
      <c r="M6" s="5">
        <f>AVERAGEIF(B:B,Avg_Rate[[#This Row],[Platform]],H:H)</f>
        <v>0.54649906832972628</v>
      </c>
      <c r="N6">
        <f>AVERAGEIF(B:B,Avg_Rate[[#This Row],[Platform]],G:G)</f>
        <v>27590.78</v>
      </c>
    </row>
    <row r="7" spans="1:14" x14ac:dyDescent="0.3">
      <c r="A7" s="3" t="s">
        <v>12</v>
      </c>
      <c r="B7" s="3" t="s">
        <v>9</v>
      </c>
      <c r="C7" s="3">
        <v>1697</v>
      </c>
      <c r="D7" s="3">
        <v>414</v>
      </c>
      <c r="E7" s="3">
        <v>316555</v>
      </c>
      <c r="F7" s="3">
        <v>2.37</v>
      </c>
      <c r="G7" s="8">
        <v>7924</v>
      </c>
      <c r="H7" s="5">
        <f t="shared" si="0"/>
        <v>0.40530081660374973</v>
      </c>
      <c r="K7" s="3" t="s">
        <v>11</v>
      </c>
      <c r="L7" s="5">
        <f>AVERAGEIF(B:B,K7,F:F)</f>
        <v>5.5587999999999997</v>
      </c>
      <c r="M7" s="5">
        <f>AVERAGEIF(B:B,Avg_Rate[[#This Row],[Platform]],H:H)</f>
        <v>0.90210666313360066</v>
      </c>
      <c r="N7">
        <f>AVERAGEIF(B:B,Avg_Rate[[#This Row],[Platform]],G:G)</f>
        <v>24572.94</v>
      </c>
    </row>
    <row r="8" spans="1:14" x14ac:dyDescent="0.3">
      <c r="A8" s="3" t="s">
        <v>12</v>
      </c>
      <c r="B8" s="3" t="s">
        <v>10</v>
      </c>
      <c r="C8" s="3">
        <v>436</v>
      </c>
      <c r="D8" s="3">
        <v>250</v>
      </c>
      <c r="E8" s="3">
        <v>254347</v>
      </c>
      <c r="F8" s="3">
        <v>4.01</v>
      </c>
      <c r="G8" s="8">
        <v>8912</v>
      </c>
      <c r="H8" s="5">
        <f t="shared" si="0"/>
        <v>7.3128442639386351E-2</v>
      </c>
    </row>
    <row r="9" spans="1:14" x14ac:dyDescent="0.3">
      <c r="A9" s="3" t="s">
        <v>12</v>
      </c>
      <c r="B9" s="3" t="s">
        <v>11</v>
      </c>
      <c r="C9" s="3">
        <v>1197</v>
      </c>
      <c r="D9" s="3">
        <v>203</v>
      </c>
      <c r="E9" s="3">
        <v>413878</v>
      </c>
      <c r="F9" s="3">
        <v>3.16</v>
      </c>
      <c r="G9" s="8">
        <v>21205</v>
      </c>
      <c r="H9" s="5">
        <f t="shared" si="0"/>
        <v>0.24016739232334167</v>
      </c>
    </row>
    <row r="10" spans="1:14" x14ac:dyDescent="0.3">
      <c r="A10" s="3" t="s">
        <v>13</v>
      </c>
      <c r="B10" s="3" t="s">
        <v>8</v>
      </c>
      <c r="C10" s="3">
        <v>1048</v>
      </c>
      <c r="D10" s="3">
        <v>155</v>
      </c>
      <c r="E10" s="3">
        <v>456946</v>
      </c>
      <c r="F10" s="3">
        <v>2.46</v>
      </c>
      <c r="G10" s="8">
        <v>11329</v>
      </c>
      <c r="H10" s="5">
        <f t="shared" si="0"/>
        <v>0.19542790614208244</v>
      </c>
    </row>
    <row r="11" spans="1:14" x14ac:dyDescent="0.3">
      <c r="A11" s="3" t="s">
        <v>13</v>
      </c>
      <c r="B11" s="3" t="s">
        <v>9</v>
      </c>
      <c r="C11" s="3">
        <v>1753</v>
      </c>
      <c r="D11" s="3">
        <v>371</v>
      </c>
      <c r="E11" s="3">
        <v>169496</v>
      </c>
      <c r="F11" s="3">
        <v>8.11</v>
      </c>
      <c r="G11" s="8">
        <v>46670</v>
      </c>
      <c r="H11" s="5">
        <f t="shared" si="0"/>
        <v>0.8153584745362723</v>
      </c>
    </row>
    <row r="12" spans="1:14" x14ac:dyDescent="0.3">
      <c r="A12" s="3" t="s">
        <v>13</v>
      </c>
      <c r="B12" s="3" t="s">
        <v>10</v>
      </c>
      <c r="C12" s="3">
        <v>1335</v>
      </c>
      <c r="D12" s="3">
        <v>40</v>
      </c>
      <c r="E12" s="3">
        <v>122732</v>
      </c>
      <c r="F12" s="3">
        <v>8.19</v>
      </c>
      <c r="G12" s="8">
        <v>22482</v>
      </c>
      <c r="H12" s="5">
        <f t="shared" si="0"/>
        <v>1.0551445425805821</v>
      </c>
    </row>
    <row r="13" spans="1:14" x14ac:dyDescent="0.3">
      <c r="A13" s="3" t="s">
        <v>13</v>
      </c>
      <c r="B13" s="3" t="s">
        <v>11</v>
      </c>
      <c r="C13" s="3">
        <v>403</v>
      </c>
      <c r="D13" s="3">
        <v>66</v>
      </c>
      <c r="E13" s="3">
        <v>382851</v>
      </c>
      <c r="F13" s="3">
        <v>3.49</v>
      </c>
      <c r="G13" s="8">
        <v>24313</v>
      </c>
      <c r="H13" s="5">
        <f t="shared" si="0"/>
        <v>8.8023800381871797E-2</v>
      </c>
    </row>
    <row r="14" spans="1:14" x14ac:dyDescent="0.3">
      <c r="A14" s="3" t="s">
        <v>14</v>
      </c>
      <c r="B14" s="3" t="s">
        <v>8</v>
      </c>
      <c r="C14" s="3">
        <v>911</v>
      </c>
      <c r="D14" s="3">
        <v>282</v>
      </c>
      <c r="E14" s="3">
        <v>35664</v>
      </c>
      <c r="F14" s="3">
        <v>6.92</v>
      </c>
      <c r="G14" s="8">
        <v>18050</v>
      </c>
      <c r="H14" s="5">
        <f t="shared" si="0"/>
        <v>1.7636832660385824</v>
      </c>
    </row>
    <row r="15" spans="1:14" x14ac:dyDescent="0.3">
      <c r="A15" s="3" t="s">
        <v>14</v>
      </c>
      <c r="B15" s="3" t="s">
        <v>9</v>
      </c>
      <c r="C15" s="3">
        <v>1779</v>
      </c>
      <c r="D15" s="3">
        <v>109</v>
      </c>
      <c r="E15" s="3">
        <v>26295</v>
      </c>
      <c r="F15" s="3">
        <v>9.1199999999999992</v>
      </c>
      <c r="G15" s="8">
        <v>30635</v>
      </c>
      <c r="H15" s="5">
        <f t="shared" si="0"/>
        <v>6.3510173036698996</v>
      </c>
    </row>
    <row r="16" spans="1:14" x14ac:dyDescent="0.3">
      <c r="A16" s="3" t="s">
        <v>14</v>
      </c>
      <c r="B16" s="3" t="s">
        <v>10</v>
      </c>
      <c r="C16" s="3">
        <v>1238</v>
      </c>
      <c r="D16" s="3">
        <v>403</v>
      </c>
      <c r="E16" s="3">
        <v>298421</v>
      </c>
      <c r="F16" s="3">
        <v>3.5</v>
      </c>
      <c r="G16" s="8">
        <v>31280</v>
      </c>
      <c r="H16" s="5">
        <f t="shared" si="0"/>
        <v>0.27980604582117208</v>
      </c>
    </row>
    <row r="17" spans="1:8" x14ac:dyDescent="0.3">
      <c r="A17" s="3" t="s">
        <v>14</v>
      </c>
      <c r="B17" s="3" t="s">
        <v>11</v>
      </c>
      <c r="C17" s="3">
        <v>308</v>
      </c>
      <c r="D17" s="3">
        <v>431</v>
      </c>
      <c r="E17" s="3">
        <v>426184</v>
      </c>
      <c r="F17" s="3">
        <v>2.62</v>
      </c>
      <c r="G17" s="8">
        <v>1783</v>
      </c>
      <c r="H17" s="5">
        <f t="shared" si="0"/>
        <v>-2.8860773750305036E-2</v>
      </c>
    </row>
    <row r="18" spans="1:8" x14ac:dyDescent="0.3">
      <c r="A18" s="3" t="s">
        <v>15</v>
      </c>
      <c r="B18" s="3" t="s">
        <v>8</v>
      </c>
      <c r="C18" s="3">
        <v>226</v>
      </c>
      <c r="D18" s="3">
        <v>445</v>
      </c>
      <c r="E18" s="3">
        <v>419447</v>
      </c>
      <c r="F18" s="3">
        <v>9.36</v>
      </c>
      <c r="G18" s="8">
        <v>9566</v>
      </c>
      <c r="H18" s="5">
        <f t="shared" si="0"/>
        <v>-5.2211602419375981E-2</v>
      </c>
    </row>
    <row r="19" spans="1:8" x14ac:dyDescent="0.3">
      <c r="A19" s="3" t="s">
        <v>15</v>
      </c>
      <c r="B19" s="3" t="s">
        <v>9</v>
      </c>
      <c r="C19" s="3">
        <v>505</v>
      </c>
      <c r="D19" s="3">
        <v>441</v>
      </c>
      <c r="E19" s="3">
        <v>220020</v>
      </c>
      <c r="F19" s="3">
        <v>4.4800000000000004</v>
      </c>
      <c r="G19" s="8">
        <v>42307</v>
      </c>
      <c r="H19" s="5">
        <f t="shared" si="0"/>
        <v>2.9088264703208796E-2</v>
      </c>
    </row>
    <row r="20" spans="1:8" x14ac:dyDescent="0.3">
      <c r="A20" s="3" t="s">
        <v>15</v>
      </c>
      <c r="B20" s="3" t="s">
        <v>10</v>
      </c>
      <c r="C20" s="3">
        <v>1420</v>
      </c>
      <c r="D20" s="3">
        <v>63</v>
      </c>
      <c r="E20" s="3">
        <v>315305</v>
      </c>
      <c r="F20" s="3">
        <v>6.19</v>
      </c>
      <c r="G20" s="8">
        <v>5914</v>
      </c>
      <c r="H20" s="5">
        <f t="shared" si="0"/>
        <v>0.4303769366169265</v>
      </c>
    </row>
    <row r="21" spans="1:8" x14ac:dyDescent="0.3">
      <c r="A21" s="3" t="s">
        <v>15</v>
      </c>
      <c r="B21" s="3" t="s">
        <v>11</v>
      </c>
      <c r="C21" s="3">
        <v>144</v>
      </c>
      <c r="D21" s="3">
        <v>53</v>
      </c>
      <c r="E21" s="3">
        <v>113678</v>
      </c>
      <c r="F21" s="3">
        <v>8.7200000000000006</v>
      </c>
      <c r="G21" s="8">
        <v>30060</v>
      </c>
      <c r="H21" s="5">
        <f t="shared" si="0"/>
        <v>8.0050669434719113E-2</v>
      </c>
    </row>
    <row r="22" spans="1:8" x14ac:dyDescent="0.3">
      <c r="A22" s="3" t="s">
        <v>16</v>
      </c>
      <c r="B22" s="3" t="s">
        <v>8</v>
      </c>
      <c r="C22" s="3">
        <v>1757</v>
      </c>
      <c r="D22" s="3">
        <v>85</v>
      </c>
      <c r="E22" s="3">
        <v>58223</v>
      </c>
      <c r="F22" s="3">
        <v>8.74</v>
      </c>
      <c r="G22" s="8">
        <v>22728</v>
      </c>
      <c r="H22" s="5">
        <f t="shared" si="0"/>
        <v>2.8717173625543171</v>
      </c>
    </row>
    <row r="23" spans="1:8" x14ac:dyDescent="0.3">
      <c r="A23" s="3" t="s">
        <v>16</v>
      </c>
      <c r="B23" s="3" t="s">
        <v>9</v>
      </c>
      <c r="C23" s="3">
        <v>350</v>
      </c>
      <c r="D23" s="3">
        <v>41</v>
      </c>
      <c r="E23" s="3">
        <v>251694</v>
      </c>
      <c r="F23" s="3">
        <v>1.91</v>
      </c>
      <c r="G23" s="8">
        <v>38610</v>
      </c>
      <c r="H23" s="5">
        <f t="shared" si="0"/>
        <v>0.12276812319721568</v>
      </c>
    </row>
    <row r="24" spans="1:8" x14ac:dyDescent="0.3">
      <c r="A24" s="3" t="s">
        <v>16</v>
      </c>
      <c r="B24" s="3" t="s">
        <v>10</v>
      </c>
      <c r="C24" s="3">
        <v>987</v>
      </c>
      <c r="D24" s="3">
        <v>440</v>
      </c>
      <c r="E24" s="3">
        <v>389810</v>
      </c>
      <c r="F24" s="3">
        <v>4.66</v>
      </c>
      <c r="G24" s="8">
        <v>2932</v>
      </c>
      <c r="H24" s="5">
        <f t="shared" si="0"/>
        <v>0.140324773607655</v>
      </c>
    </row>
    <row r="25" spans="1:8" x14ac:dyDescent="0.3">
      <c r="A25" s="3" t="s">
        <v>16</v>
      </c>
      <c r="B25" s="3" t="s">
        <v>11</v>
      </c>
      <c r="C25" s="3">
        <v>883</v>
      </c>
      <c r="D25" s="3">
        <v>369</v>
      </c>
      <c r="E25" s="3">
        <v>233694</v>
      </c>
      <c r="F25" s="3">
        <v>2.88</v>
      </c>
      <c r="G25" s="8">
        <v>15071</v>
      </c>
      <c r="H25" s="5">
        <f t="shared" si="0"/>
        <v>0.21994574101175038</v>
      </c>
    </row>
    <row r="26" spans="1:8" x14ac:dyDescent="0.3">
      <c r="A26" s="3" t="s">
        <v>17</v>
      </c>
      <c r="B26" s="3" t="s">
        <v>8</v>
      </c>
      <c r="C26" s="3">
        <v>1960</v>
      </c>
      <c r="D26" s="3">
        <v>115</v>
      </c>
      <c r="E26" s="3">
        <v>154169</v>
      </c>
      <c r="F26" s="3">
        <v>3.74</v>
      </c>
      <c r="G26" s="8">
        <v>10740</v>
      </c>
      <c r="H26" s="5">
        <f t="shared" si="0"/>
        <v>1.1967386439556591</v>
      </c>
    </row>
    <row r="27" spans="1:8" x14ac:dyDescent="0.3">
      <c r="A27" s="3" t="s">
        <v>17</v>
      </c>
      <c r="B27" s="3" t="s">
        <v>9</v>
      </c>
      <c r="C27" s="3">
        <v>170</v>
      </c>
      <c r="D27" s="3">
        <v>334</v>
      </c>
      <c r="E27" s="3">
        <v>334626</v>
      </c>
      <c r="F27" s="3">
        <v>6.44</v>
      </c>
      <c r="G27" s="8">
        <v>43420</v>
      </c>
      <c r="H27" s="5">
        <f t="shared" si="0"/>
        <v>-4.9009939454794309E-2</v>
      </c>
    </row>
    <row r="28" spans="1:8" x14ac:dyDescent="0.3">
      <c r="A28" s="3" t="s">
        <v>17</v>
      </c>
      <c r="B28" s="3" t="s">
        <v>10</v>
      </c>
      <c r="C28" s="3">
        <v>704</v>
      </c>
      <c r="D28" s="3">
        <v>275</v>
      </c>
      <c r="E28" s="3">
        <v>226002</v>
      </c>
      <c r="F28" s="3">
        <v>8.56</v>
      </c>
      <c r="G28" s="8">
        <v>32393</v>
      </c>
      <c r="H28" s="5">
        <f t="shared" si="0"/>
        <v>0.18982132901478749</v>
      </c>
    </row>
    <row r="29" spans="1:8" x14ac:dyDescent="0.3">
      <c r="A29" s="3" t="s">
        <v>17</v>
      </c>
      <c r="B29" s="3" t="s">
        <v>11</v>
      </c>
      <c r="C29" s="3">
        <v>224</v>
      </c>
      <c r="D29" s="3">
        <v>64</v>
      </c>
      <c r="E29" s="3">
        <v>156683</v>
      </c>
      <c r="F29" s="3">
        <v>4.5599999999999996</v>
      </c>
      <c r="G29" s="8">
        <v>28474</v>
      </c>
      <c r="H29" s="5">
        <f t="shared" si="0"/>
        <v>0.10211701333265255</v>
      </c>
    </row>
    <row r="30" spans="1:8" x14ac:dyDescent="0.3">
      <c r="A30" s="3" t="s">
        <v>18</v>
      </c>
      <c r="B30" s="3" t="s">
        <v>8</v>
      </c>
      <c r="C30" s="3">
        <v>508</v>
      </c>
      <c r="D30" s="3">
        <v>349</v>
      </c>
      <c r="E30" s="3">
        <v>473812</v>
      </c>
      <c r="F30" s="3">
        <v>7.88</v>
      </c>
      <c r="G30" s="8">
        <v>17328</v>
      </c>
      <c r="H30" s="5">
        <f t="shared" si="0"/>
        <v>3.3557613568250697E-2</v>
      </c>
    </row>
    <row r="31" spans="1:8" x14ac:dyDescent="0.3">
      <c r="A31" s="3" t="s">
        <v>18</v>
      </c>
      <c r="B31" s="3" t="s">
        <v>9</v>
      </c>
      <c r="C31" s="3">
        <v>1391</v>
      </c>
      <c r="D31" s="3">
        <v>430</v>
      </c>
      <c r="E31" s="3">
        <v>295032</v>
      </c>
      <c r="F31" s="3">
        <v>7.86</v>
      </c>
      <c r="G31" s="8">
        <v>26067</v>
      </c>
      <c r="H31" s="5">
        <f t="shared" si="0"/>
        <v>0.32572737872501967</v>
      </c>
    </row>
    <row r="32" spans="1:8" x14ac:dyDescent="0.3">
      <c r="A32" s="3" t="s">
        <v>18</v>
      </c>
      <c r="B32" s="3" t="s">
        <v>10</v>
      </c>
      <c r="C32" s="3">
        <v>1701</v>
      </c>
      <c r="D32" s="3">
        <v>385</v>
      </c>
      <c r="E32" s="3">
        <v>198278</v>
      </c>
      <c r="F32" s="3">
        <v>5.34</v>
      </c>
      <c r="G32" s="8">
        <v>32763</v>
      </c>
      <c r="H32" s="5">
        <f t="shared" si="0"/>
        <v>0.66371458255580551</v>
      </c>
    </row>
    <row r="33" spans="1:8" x14ac:dyDescent="0.3">
      <c r="A33" s="3" t="s">
        <v>18</v>
      </c>
      <c r="B33" s="3" t="s">
        <v>11</v>
      </c>
      <c r="C33" s="3">
        <v>804</v>
      </c>
      <c r="D33" s="3">
        <v>487</v>
      </c>
      <c r="E33" s="3">
        <v>306564</v>
      </c>
      <c r="F33" s="3">
        <v>5.52</v>
      </c>
      <c r="G33" s="8">
        <v>26452</v>
      </c>
      <c r="H33" s="5">
        <f t="shared" si="0"/>
        <v>0.10340418313957282</v>
      </c>
    </row>
    <row r="34" spans="1:8" x14ac:dyDescent="0.3">
      <c r="A34" s="3" t="s">
        <v>19</v>
      </c>
      <c r="B34" s="3" t="s">
        <v>8</v>
      </c>
      <c r="C34" s="3">
        <v>653</v>
      </c>
      <c r="D34" s="3">
        <v>112</v>
      </c>
      <c r="E34" s="3">
        <v>23664</v>
      </c>
      <c r="F34" s="3">
        <v>4.05</v>
      </c>
      <c r="G34" s="8">
        <v>15353</v>
      </c>
      <c r="H34" s="5">
        <f t="shared" si="0"/>
        <v>2.2861730899256254</v>
      </c>
    </row>
    <row r="35" spans="1:8" x14ac:dyDescent="0.3">
      <c r="A35" s="3" t="s">
        <v>19</v>
      </c>
      <c r="B35" s="3" t="s">
        <v>9</v>
      </c>
      <c r="C35" s="3">
        <v>160</v>
      </c>
      <c r="D35" s="3">
        <v>478</v>
      </c>
      <c r="E35" s="3">
        <v>435034</v>
      </c>
      <c r="F35" s="3">
        <v>7.73</v>
      </c>
      <c r="G35" s="8">
        <v>4839</v>
      </c>
      <c r="H35" s="5">
        <f t="shared" si="0"/>
        <v>-7.309773488968678E-2</v>
      </c>
    </row>
    <row r="36" spans="1:8" x14ac:dyDescent="0.3">
      <c r="A36" s="3" t="s">
        <v>19</v>
      </c>
      <c r="B36" s="3" t="s">
        <v>10</v>
      </c>
      <c r="C36" s="3">
        <v>1756</v>
      </c>
      <c r="D36" s="3">
        <v>261</v>
      </c>
      <c r="E36" s="3">
        <v>287574</v>
      </c>
      <c r="F36" s="3">
        <v>4.3600000000000003</v>
      </c>
      <c r="G36" s="8">
        <v>39272</v>
      </c>
      <c r="H36" s="5">
        <f t="shared" si="0"/>
        <v>0.51986619096302167</v>
      </c>
    </row>
    <row r="37" spans="1:8" x14ac:dyDescent="0.3">
      <c r="A37" s="3" t="s">
        <v>19</v>
      </c>
      <c r="B37" s="3" t="s">
        <v>11</v>
      </c>
      <c r="C37" s="3">
        <v>576</v>
      </c>
      <c r="D37" s="3">
        <v>101</v>
      </c>
      <c r="E37" s="3">
        <v>62499</v>
      </c>
      <c r="F37" s="3">
        <v>3.48</v>
      </c>
      <c r="G37" s="8">
        <v>16804</v>
      </c>
      <c r="H37" s="5">
        <f t="shared" si="0"/>
        <v>0.76001216019456308</v>
      </c>
    </row>
    <row r="38" spans="1:8" x14ac:dyDescent="0.3">
      <c r="A38" s="3" t="s">
        <v>20</v>
      </c>
      <c r="B38" s="3" t="s">
        <v>8</v>
      </c>
      <c r="C38" s="3">
        <v>645</v>
      </c>
      <c r="D38" s="3">
        <v>293</v>
      </c>
      <c r="E38" s="3">
        <v>437968</v>
      </c>
      <c r="F38" s="3">
        <v>7.83</v>
      </c>
      <c r="G38" s="8">
        <v>49303</v>
      </c>
      <c r="H38" s="5">
        <f t="shared" si="0"/>
        <v>8.0371168669857163E-2</v>
      </c>
    </row>
    <row r="39" spans="1:8" x14ac:dyDescent="0.3">
      <c r="A39" s="3" t="s">
        <v>20</v>
      </c>
      <c r="B39" s="3" t="s">
        <v>9</v>
      </c>
      <c r="C39" s="3">
        <v>214</v>
      </c>
      <c r="D39" s="3">
        <v>411</v>
      </c>
      <c r="E39" s="3">
        <v>125034</v>
      </c>
      <c r="F39" s="3">
        <v>6.11</v>
      </c>
      <c r="G39" s="8">
        <v>26455</v>
      </c>
      <c r="H39" s="5">
        <f t="shared" si="0"/>
        <v>-0.15755714445670779</v>
      </c>
    </row>
    <row r="40" spans="1:8" x14ac:dyDescent="0.3">
      <c r="A40" s="3" t="s">
        <v>20</v>
      </c>
      <c r="B40" s="3" t="s">
        <v>10</v>
      </c>
      <c r="C40" s="3">
        <v>826</v>
      </c>
      <c r="D40" s="3">
        <v>498</v>
      </c>
      <c r="E40" s="3">
        <v>449994</v>
      </c>
      <c r="F40" s="3">
        <v>9.43</v>
      </c>
      <c r="G40" s="8">
        <v>12384</v>
      </c>
      <c r="H40" s="5">
        <f t="shared" si="0"/>
        <v>7.2889860753698937E-2</v>
      </c>
    </row>
    <row r="41" spans="1:8" x14ac:dyDescent="0.3">
      <c r="A41" s="3" t="s">
        <v>20</v>
      </c>
      <c r="B41" s="3" t="s">
        <v>11</v>
      </c>
      <c r="C41" s="3">
        <v>460</v>
      </c>
      <c r="D41" s="3">
        <v>141</v>
      </c>
      <c r="E41" s="3">
        <v>320650</v>
      </c>
      <c r="F41" s="3">
        <v>4.04</v>
      </c>
      <c r="G41" s="8">
        <v>49372</v>
      </c>
      <c r="H41" s="5">
        <f t="shared" si="0"/>
        <v>9.9485420240137221E-2</v>
      </c>
    </row>
    <row r="42" spans="1:8" x14ac:dyDescent="0.3">
      <c r="A42" s="3" t="s">
        <v>21</v>
      </c>
      <c r="B42" s="3" t="s">
        <v>8</v>
      </c>
      <c r="C42" s="3">
        <v>1528</v>
      </c>
      <c r="D42" s="3">
        <v>203</v>
      </c>
      <c r="E42" s="3">
        <v>489188</v>
      </c>
      <c r="F42" s="3">
        <v>6.23</v>
      </c>
      <c r="G42" s="8">
        <v>47101</v>
      </c>
      <c r="H42" s="5">
        <f t="shared" si="0"/>
        <v>0.27085701202809553</v>
      </c>
    </row>
    <row r="43" spans="1:8" x14ac:dyDescent="0.3">
      <c r="A43" s="3" t="s">
        <v>21</v>
      </c>
      <c r="B43" s="3" t="s">
        <v>9</v>
      </c>
      <c r="C43" s="3">
        <v>1534</v>
      </c>
      <c r="D43" s="3">
        <v>200</v>
      </c>
      <c r="E43" s="3">
        <v>307612</v>
      </c>
      <c r="F43" s="3">
        <v>6.01</v>
      </c>
      <c r="G43" s="8">
        <v>37903</v>
      </c>
      <c r="H43" s="5">
        <f t="shared" si="0"/>
        <v>0.43366318609156984</v>
      </c>
    </row>
    <row r="44" spans="1:8" x14ac:dyDescent="0.3">
      <c r="A44" s="3" t="s">
        <v>21</v>
      </c>
      <c r="B44" s="3" t="s">
        <v>10</v>
      </c>
      <c r="C44" s="3">
        <v>485</v>
      </c>
      <c r="D44" s="3">
        <v>448</v>
      </c>
      <c r="E44" s="3">
        <v>434883</v>
      </c>
      <c r="F44" s="3">
        <v>8.5500000000000007</v>
      </c>
      <c r="G44" s="8">
        <v>33258</v>
      </c>
      <c r="H44" s="5">
        <f t="shared" si="0"/>
        <v>8.5080354946042956E-3</v>
      </c>
    </row>
    <row r="45" spans="1:8" x14ac:dyDescent="0.3">
      <c r="A45" s="3" t="s">
        <v>21</v>
      </c>
      <c r="B45" s="3" t="s">
        <v>11</v>
      </c>
      <c r="C45" s="3">
        <v>1210</v>
      </c>
      <c r="D45" s="3">
        <v>178</v>
      </c>
      <c r="E45" s="3">
        <v>102042</v>
      </c>
      <c r="F45" s="3">
        <v>5.42</v>
      </c>
      <c r="G45" s="8">
        <v>6915</v>
      </c>
      <c r="H45" s="5">
        <f t="shared" si="0"/>
        <v>1.011348268360087</v>
      </c>
    </row>
    <row r="46" spans="1:8" x14ac:dyDescent="0.3">
      <c r="A46" s="3" t="s">
        <v>22</v>
      </c>
      <c r="B46" s="3" t="s">
        <v>8</v>
      </c>
      <c r="C46" s="3">
        <v>215</v>
      </c>
      <c r="D46" s="3">
        <v>139</v>
      </c>
      <c r="E46" s="3">
        <v>325444</v>
      </c>
      <c r="F46" s="3">
        <v>3.25</v>
      </c>
      <c r="G46" s="8">
        <v>35501</v>
      </c>
      <c r="H46" s="5">
        <f t="shared" si="0"/>
        <v>2.335271198731579E-2</v>
      </c>
    </row>
    <row r="47" spans="1:8" x14ac:dyDescent="0.3">
      <c r="A47" s="3" t="s">
        <v>22</v>
      </c>
      <c r="B47" s="3" t="s">
        <v>9</v>
      </c>
      <c r="C47" s="3">
        <v>1078</v>
      </c>
      <c r="D47" s="3">
        <v>20</v>
      </c>
      <c r="E47" s="3">
        <v>183924</v>
      </c>
      <c r="F47" s="3">
        <v>8.84</v>
      </c>
      <c r="G47" s="8">
        <v>14203</v>
      </c>
      <c r="H47" s="5">
        <f t="shared" si="0"/>
        <v>0.57523759813836151</v>
      </c>
    </row>
    <row r="48" spans="1:8" x14ac:dyDescent="0.3">
      <c r="A48" s="3" t="s">
        <v>22</v>
      </c>
      <c r="B48" s="3" t="s">
        <v>10</v>
      </c>
      <c r="C48" s="3">
        <v>1751</v>
      </c>
      <c r="D48" s="3">
        <v>86</v>
      </c>
      <c r="E48" s="3">
        <v>188655</v>
      </c>
      <c r="F48" s="3">
        <v>7.24</v>
      </c>
      <c r="G48" s="8">
        <v>22206</v>
      </c>
      <c r="H48" s="5">
        <f t="shared" si="0"/>
        <v>0.88256340939810773</v>
      </c>
    </row>
    <row r="49" spans="1:8" x14ac:dyDescent="0.3">
      <c r="A49" s="3" t="s">
        <v>22</v>
      </c>
      <c r="B49" s="3" t="s">
        <v>11</v>
      </c>
      <c r="C49" s="3">
        <v>221</v>
      </c>
      <c r="D49" s="3">
        <v>31</v>
      </c>
      <c r="E49" s="3">
        <v>87443</v>
      </c>
      <c r="F49" s="3">
        <v>6.19</v>
      </c>
      <c r="G49" s="8">
        <v>10283</v>
      </c>
      <c r="H49" s="5">
        <f t="shared" si="0"/>
        <v>0.21728440241071326</v>
      </c>
    </row>
    <row r="50" spans="1:8" x14ac:dyDescent="0.3">
      <c r="A50" s="3" t="s">
        <v>23</v>
      </c>
      <c r="B50" s="3" t="s">
        <v>8</v>
      </c>
      <c r="C50" s="3">
        <v>1685</v>
      </c>
      <c r="D50" s="3">
        <v>76</v>
      </c>
      <c r="E50" s="3">
        <v>453799</v>
      </c>
      <c r="F50" s="3">
        <v>5.71</v>
      </c>
      <c r="G50" s="8">
        <v>24913</v>
      </c>
      <c r="H50" s="5">
        <f t="shared" si="0"/>
        <v>0.35456226214689768</v>
      </c>
    </row>
    <row r="51" spans="1:8" x14ac:dyDescent="0.3">
      <c r="A51" s="3" t="s">
        <v>23</v>
      </c>
      <c r="B51" s="3" t="s">
        <v>9</v>
      </c>
      <c r="C51" s="3">
        <v>248</v>
      </c>
      <c r="D51" s="3">
        <v>211</v>
      </c>
      <c r="E51" s="3">
        <v>379380</v>
      </c>
      <c r="F51" s="3">
        <v>9.0399999999999991</v>
      </c>
      <c r="G51" s="8">
        <v>26925</v>
      </c>
      <c r="H51" s="5">
        <f t="shared" si="0"/>
        <v>9.7527544941747053E-3</v>
      </c>
    </row>
    <row r="52" spans="1:8" x14ac:dyDescent="0.3">
      <c r="A52" s="3" t="s">
        <v>23</v>
      </c>
      <c r="B52" s="3" t="s">
        <v>10</v>
      </c>
      <c r="C52" s="3">
        <v>1300</v>
      </c>
      <c r="D52" s="3">
        <v>71</v>
      </c>
      <c r="E52" s="3">
        <v>186454</v>
      </c>
      <c r="F52" s="3">
        <v>3.91</v>
      </c>
      <c r="G52" s="8">
        <v>9942</v>
      </c>
      <c r="H52" s="5">
        <f t="shared" si="0"/>
        <v>0.65914381026955704</v>
      </c>
    </row>
    <row r="53" spans="1:8" x14ac:dyDescent="0.3">
      <c r="A53" s="3" t="s">
        <v>23</v>
      </c>
      <c r="B53" s="3" t="s">
        <v>11</v>
      </c>
      <c r="C53" s="3">
        <v>422</v>
      </c>
      <c r="D53" s="3">
        <v>394</v>
      </c>
      <c r="E53" s="3">
        <v>239044</v>
      </c>
      <c r="F53" s="3">
        <v>7.83</v>
      </c>
      <c r="G53" s="8">
        <v>32929</v>
      </c>
      <c r="H53" s="5">
        <f t="shared" si="0"/>
        <v>1.1713324743561855E-2</v>
      </c>
    </row>
    <row r="54" spans="1:8" x14ac:dyDescent="0.3">
      <c r="A54" s="3" t="s">
        <v>24</v>
      </c>
      <c r="B54" s="3" t="s">
        <v>8</v>
      </c>
      <c r="C54" s="3">
        <v>1429</v>
      </c>
      <c r="D54" s="3">
        <v>182</v>
      </c>
      <c r="E54" s="3">
        <v>101332</v>
      </c>
      <c r="F54" s="3">
        <v>7.16</v>
      </c>
      <c r="G54" s="8">
        <v>37829</v>
      </c>
      <c r="H54" s="5">
        <f t="shared" si="0"/>
        <v>1.2306082974775983</v>
      </c>
    </row>
    <row r="55" spans="1:8" x14ac:dyDescent="0.3">
      <c r="A55" s="3" t="s">
        <v>24</v>
      </c>
      <c r="B55" s="3" t="s">
        <v>9</v>
      </c>
      <c r="C55" s="3">
        <v>1520</v>
      </c>
      <c r="D55" s="3">
        <v>475</v>
      </c>
      <c r="E55" s="3">
        <v>496982</v>
      </c>
      <c r="F55" s="3">
        <v>6.41</v>
      </c>
      <c r="G55" s="8">
        <v>24384</v>
      </c>
      <c r="H55" s="5">
        <f t="shared" si="0"/>
        <v>0.21026918479944948</v>
      </c>
    </row>
    <row r="56" spans="1:8" x14ac:dyDescent="0.3">
      <c r="A56" s="3" t="s">
        <v>24</v>
      </c>
      <c r="B56" s="3" t="s">
        <v>10</v>
      </c>
      <c r="C56" s="3">
        <v>557</v>
      </c>
      <c r="D56" s="3">
        <v>360</v>
      </c>
      <c r="E56" s="3">
        <v>318779</v>
      </c>
      <c r="F56" s="3">
        <v>8.02</v>
      </c>
      <c r="G56" s="8">
        <v>25797</v>
      </c>
      <c r="H56" s="5">
        <f t="shared" si="0"/>
        <v>6.1798299135137513E-2</v>
      </c>
    </row>
    <row r="57" spans="1:8" x14ac:dyDescent="0.3">
      <c r="A57" s="3" t="s">
        <v>24</v>
      </c>
      <c r="B57" s="3" t="s">
        <v>11</v>
      </c>
      <c r="C57" s="3">
        <v>728</v>
      </c>
      <c r="D57" s="3">
        <v>395</v>
      </c>
      <c r="E57" s="3">
        <v>370971</v>
      </c>
      <c r="F57" s="3">
        <v>3.86</v>
      </c>
      <c r="G57" s="8">
        <v>12646</v>
      </c>
      <c r="H57" s="5">
        <f t="shared" si="0"/>
        <v>8.9764429025449427E-2</v>
      </c>
    </row>
    <row r="58" spans="1:8" x14ac:dyDescent="0.3">
      <c r="A58" s="3" t="s">
        <v>25</v>
      </c>
      <c r="B58" s="3" t="s">
        <v>8</v>
      </c>
      <c r="C58" s="3">
        <v>1592</v>
      </c>
      <c r="D58" s="3">
        <v>20</v>
      </c>
      <c r="E58" s="3">
        <v>378054</v>
      </c>
      <c r="F58" s="3">
        <v>9.09</v>
      </c>
      <c r="G58" s="8">
        <v>26663</v>
      </c>
      <c r="H58" s="5">
        <f t="shared" si="0"/>
        <v>0.41581361392816901</v>
      </c>
    </row>
    <row r="59" spans="1:8" x14ac:dyDescent="0.3">
      <c r="A59" s="3" t="s">
        <v>25</v>
      </c>
      <c r="B59" s="3" t="s">
        <v>9</v>
      </c>
      <c r="C59" s="3">
        <v>1842</v>
      </c>
      <c r="D59" s="3">
        <v>414</v>
      </c>
      <c r="E59" s="3">
        <v>307524</v>
      </c>
      <c r="F59" s="3">
        <v>1.76</v>
      </c>
      <c r="G59" s="8">
        <v>40478</v>
      </c>
      <c r="H59" s="5">
        <f t="shared" si="0"/>
        <v>0.46435400163889645</v>
      </c>
    </row>
    <row r="60" spans="1:8" x14ac:dyDescent="0.3">
      <c r="A60" s="3" t="s">
        <v>25</v>
      </c>
      <c r="B60" s="3" t="s">
        <v>10</v>
      </c>
      <c r="C60" s="3">
        <v>751</v>
      </c>
      <c r="D60" s="3">
        <v>491</v>
      </c>
      <c r="E60" s="3">
        <v>434047</v>
      </c>
      <c r="F60" s="3">
        <v>9.24</v>
      </c>
      <c r="G60" s="8">
        <v>15476</v>
      </c>
      <c r="H60" s="5">
        <f t="shared" si="0"/>
        <v>5.990134708914012E-2</v>
      </c>
    </row>
    <row r="61" spans="1:8" x14ac:dyDescent="0.3">
      <c r="A61" s="3" t="s">
        <v>25</v>
      </c>
      <c r="B61" s="3" t="s">
        <v>11</v>
      </c>
      <c r="C61" s="3">
        <v>1409</v>
      </c>
      <c r="D61" s="3">
        <v>309</v>
      </c>
      <c r="E61" s="3">
        <v>64583</v>
      </c>
      <c r="F61" s="3">
        <v>8.99</v>
      </c>
      <c r="G61" s="8">
        <v>10217</v>
      </c>
      <c r="H61" s="5">
        <f t="shared" si="0"/>
        <v>1.703234597339857</v>
      </c>
    </row>
    <row r="62" spans="1:8" x14ac:dyDescent="0.3">
      <c r="A62" s="3" t="s">
        <v>26</v>
      </c>
      <c r="B62" s="3" t="s">
        <v>8</v>
      </c>
      <c r="C62" s="3">
        <v>778</v>
      </c>
      <c r="D62" s="3">
        <v>401</v>
      </c>
      <c r="E62" s="3">
        <v>50793</v>
      </c>
      <c r="F62" s="3">
        <v>3.4</v>
      </c>
      <c r="G62" s="8">
        <v>21939</v>
      </c>
      <c r="H62" s="5">
        <f t="shared" si="0"/>
        <v>0.74222825979957874</v>
      </c>
    </row>
    <row r="63" spans="1:8" x14ac:dyDescent="0.3">
      <c r="A63" s="3" t="s">
        <v>26</v>
      </c>
      <c r="B63" s="3" t="s">
        <v>9</v>
      </c>
      <c r="C63" s="3">
        <v>443</v>
      </c>
      <c r="D63" s="3">
        <v>345</v>
      </c>
      <c r="E63" s="3">
        <v>474162</v>
      </c>
      <c r="F63" s="3">
        <v>9.1999999999999993</v>
      </c>
      <c r="G63" s="8">
        <v>47462</v>
      </c>
      <c r="H63" s="5">
        <f t="shared" si="0"/>
        <v>2.0668041724136478E-2</v>
      </c>
    </row>
    <row r="64" spans="1:8" x14ac:dyDescent="0.3">
      <c r="A64" s="3" t="s">
        <v>26</v>
      </c>
      <c r="B64" s="3" t="s">
        <v>10</v>
      </c>
      <c r="C64" s="3">
        <v>1472</v>
      </c>
      <c r="D64" s="3">
        <v>347</v>
      </c>
      <c r="E64" s="3">
        <v>392355</v>
      </c>
      <c r="F64" s="3">
        <v>8.59</v>
      </c>
      <c r="G64" s="8">
        <v>30270</v>
      </c>
      <c r="H64" s="5">
        <f t="shared" si="0"/>
        <v>0.2867301296020186</v>
      </c>
    </row>
    <row r="65" spans="1:8" x14ac:dyDescent="0.3">
      <c r="A65" s="3" t="s">
        <v>26</v>
      </c>
      <c r="B65" s="3" t="s">
        <v>11</v>
      </c>
      <c r="C65" s="3">
        <v>123</v>
      </c>
      <c r="D65" s="3">
        <v>155</v>
      </c>
      <c r="E65" s="3">
        <v>119934</v>
      </c>
      <c r="F65" s="3">
        <v>3.5</v>
      </c>
      <c r="G65" s="8">
        <v>5442</v>
      </c>
      <c r="H65" s="5">
        <f t="shared" si="0"/>
        <v>-2.6681341404439108E-2</v>
      </c>
    </row>
    <row r="66" spans="1:8" x14ac:dyDescent="0.3">
      <c r="A66" s="3" t="s">
        <v>27</v>
      </c>
      <c r="B66" s="3" t="s">
        <v>8</v>
      </c>
      <c r="C66" s="3">
        <v>817</v>
      </c>
      <c r="D66" s="3">
        <v>151</v>
      </c>
      <c r="E66" s="3">
        <v>422625</v>
      </c>
      <c r="F66" s="3">
        <v>2.36</v>
      </c>
      <c r="G66" s="8">
        <v>1083</v>
      </c>
      <c r="H66" s="5">
        <f t="shared" si="0"/>
        <v>0.15758651286601597</v>
      </c>
    </row>
    <row r="67" spans="1:8" x14ac:dyDescent="0.3">
      <c r="A67" s="3" t="s">
        <v>27</v>
      </c>
      <c r="B67" s="3" t="s">
        <v>9</v>
      </c>
      <c r="C67" s="3">
        <v>198</v>
      </c>
      <c r="D67" s="3">
        <v>217</v>
      </c>
      <c r="E67" s="3">
        <v>239753</v>
      </c>
      <c r="F67" s="3">
        <v>7.36</v>
      </c>
      <c r="G67" s="8">
        <v>11901</v>
      </c>
      <c r="H67" s="5">
        <f t="shared" ref="H67:H130" si="1">(C67-D67)/E67*100</f>
        <v>-7.924822629956663E-3</v>
      </c>
    </row>
    <row r="68" spans="1:8" x14ac:dyDescent="0.3">
      <c r="A68" s="3" t="s">
        <v>27</v>
      </c>
      <c r="B68" s="3" t="s">
        <v>10</v>
      </c>
      <c r="C68" s="3">
        <v>1911</v>
      </c>
      <c r="D68" s="3">
        <v>231</v>
      </c>
      <c r="E68" s="3">
        <v>268516</v>
      </c>
      <c r="F68" s="3">
        <v>8.5500000000000007</v>
      </c>
      <c r="G68" s="8">
        <v>24018</v>
      </c>
      <c r="H68" s="5">
        <f t="shared" si="1"/>
        <v>0.62566104068286432</v>
      </c>
    </row>
    <row r="69" spans="1:8" x14ac:dyDescent="0.3">
      <c r="A69" s="3" t="s">
        <v>27</v>
      </c>
      <c r="B69" s="3" t="s">
        <v>11</v>
      </c>
      <c r="C69" s="3">
        <v>1218</v>
      </c>
      <c r="D69" s="3">
        <v>212</v>
      </c>
      <c r="E69" s="3">
        <v>63177</v>
      </c>
      <c r="F69" s="3">
        <v>8.1300000000000008</v>
      </c>
      <c r="G69" s="8">
        <v>38883</v>
      </c>
      <c r="H69" s="5">
        <f t="shared" si="1"/>
        <v>1.592351646960128</v>
      </c>
    </row>
    <row r="70" spans="1:8" x14ac:dyDescent="0.3">
      <c r="A70" s="3" t="s">
        <v>28</v>
      </c>
      <c r="B70" s="3" t="s">
        <v>8</v>
      </c>
      <c r="C70" s="3">
        <v>1433</v>
      </c>
      <c r="D70" s="3">
        <v>408</v>
      </c>
      <c r="E70" s="3">
        <v>370269</v>
      </c>
      <c r="F70" s="3">
        <v>3.3</v>
      </c>
      <c r="G70" s="8">
        <v>30575</v>
      </c>
      <c r="H70" s="5">
        <f t="shared" si="1"/>
        <v>0.27682576721248608</v>
      </c>
    </row>
    <row r="71" spans="1:8" x14ac:dyDescent="0.3">
      <c r="A71" s="3" t="s">
        <v>28</v>
      </c>
      <c r="B71" s="3" t="s">
        <v>9</v>
      </c>
      <c r="C71" s="3">
        <v>250</v>
      </c>
      <c r="D71" s="3">
        <v>429</v>
      </c>
      <c r="E71" s="3">
        <v>453423</v>
      </c>
      <c r="F71" s="3">
        <v>1.77</v>
      </c>
      <c r="G71" s="8">
        <v>2315</v>
      </c>
      <c r="H71" s="5">
        <f t="shared" si="1"/>
        <v>-3.9477485703195474E-2</v>
      </c>
    </row>
    <row r="72" spans="1:8" x14ac:dyDescent="0.3">
      <c r="A72" s="3" t="s">
        <v>28</v>
      </c>
      <c r="B72" s="3" t="s">
        <v>10</v>
      </c>
      <c r="C72" s="3">
        <v>752</v>
      </c>
      <c r="D72" s="3">
        <v>153</v>
      </c>
      <c r="E72" s="3">
        <v>64906</v>
      </c>
      <c r="F72" s="3">
        <v>2.09</v>
      </c>
      <c r="G72" s="8">
        <v>12148</v>
      </c>
      <c r="H72" s="5">
        <f t="shared" si="1"/>
        <v>0.92287307798970819</v>
      </c>
    </row>
    <row r="73" spans="1:8" x14ac:dyDescent="0.3">
      <c r="A73" s="3" t="s">
        <v>28</v>
      </c>
      <c r="B73" s="3" t="s">
        <v>11</v>
      </c>
      <c r="C73" s="3">
        <v>1918</v>
      </c>
      <c r="D73" s="3">
        <v>212</v>
      </c>
      <c r="E73" s="3">
        <v>94360</v>
      </c>
      <c r="F73" s="3">
        <v>7.36</v>
      </c>
      <c r="G73" s="8">
        <v>36851</v>
      </c>
      <c r="H73" s="5">
        <f t="shared" si="1"/>
        <v>1.8079694785926241</v>
      </c>
    </row>
    <row r="74" spans="1:8" x14ac:dyDescent="0.3">
      <c r="A74" s="3" t="s">
        <v>29</v>
      </c>
      <c r="B74" s="3" t="s">
        <v>8</v>
      </c>
      <c r="C74" s="3">
        <v>1939</v>
      </c>
      <c r="D74" s="3">
        <v>67</v>
      </c>
      <c r="E74" s="3">
        <v>187183</v>
      </c>
      <c r="F74" s="3">
        <v>6.25</v>
      </c>
      <c r="G74" s="8">
        <v>41215</v>
      </c>
      <c r="H74" s="5">
        <f t="shared" si="1"/>
        <v>1.000090820213374</v>
      </c>
    </row>
    <row r="75" spans="1:8" x14ac:dyDescent="0.3">
      <c r="A75" s="3" t="s">
        <v>29</v>
      </c>
      <c r="B75" s="3" t="s">
        <v>9</v>
      </c>
      <c r="C75" s="3">
        <v>1929</v>
      </c>
      <c r="D75" s="3">
        <v>267</v>
      </c>
      <c r="E75" s="3">
        <v>379363</v>
      </c>
      <c r="F75" s="3">
        <v>1.75</v>
      </c>
      <c r="G75" s="8">
        <v>43836</v>
      </c>
      <c r="H75" s="5">
        <f t="shared" si="1"/>
        <v>0.43810281972675247</v>
      </c>
    </row>
    <row r="76" spans="1:8" x14ac:dyDescent="0.3">
      <c r="A76" s="3" t="s">
        <v>29</v>
      </c>
      <c r="B76" s="3" t="s">
        <v>10</v>
      </c>
      <c r="C76" s="3">
        <v>437</v>
      </c>
      <c r="D76" s="3">
        <v>330</v>
      </c>
      <c r="E76" s="3">
        <v>476486</v>
      </c>
      <c r="F76" s="3">
        <v>4.97</v>
      </c>
      <c r="G76" s="8">
        <v>4509</v>
      </c>
      <c r="H76" s="5">
        <f t="shared" si="1"/>
        <v>2.2456063766826309E-2</v>
      </c>
    </row>
    <row r="77" spans="1:8" x14ac:dyDescent="0.3">
      <c r="A77" s="3" t="s">
        <v>29</v>
      </c>
      <c r="B77" s="3" t="s">
        <v>11</v>
      </c>
      <c r="C77" s="3">
        <v>307</v>
      </c>
      <c r="D77" s="3">
        <v>189</v>
      </c>
      <c r="E77" s="3">
        <v>117767</v>
      </c>
      <c r="F77" s="3">
        <v>9.3000000000000007</v>
      </c>
      <c r="G77" s="8">
        <v>27822</v>
      </c>
      <c r="H77" s="5">
        <f t="shared" si="1"/>
        <v>0.10019784829366461</v>
      </c>
    </row>
    <row r="78" spans="1:8" x14ac:dyDescent="0.3">
      <c r="A78" s="3" t="s">
        <v>30</v>
      </c>
      <c r="B78" s="3" t="s">
        <v>8</v>
      </c>
      <c r="C78" s="3">
        <v>1527</v>
      </c>
      <c r="D78" s="3">
        <v>303</v>
      </c>
      <c r="E78" s="3">
        <v>388555</v>
      </c>
      <c r="F78" s="3">
        <v>8.9</v>
      </c>
      <c r="G78" s="8">
        <v>36397</v>
      </c>
      <c r="H78" s="5">
        <f t="shared" si="1"/>
        <v>0.31501331857780751</v>
      </c>
    </row>
    <row r="79" spans="1:8" x14ac:dyDescent="0.3">
      <c r="A79" s="3" t="s">
        <v>30</v>
      </c>
      <c r="B79" s="3" t="s">
        <v>9</v>
      </c>
      <c r="C79" s="3">
        <v>643</v>
      </c>
      <c r="D79" s="3">
        <v>358</v>
      </c>
      <c r="E79" s="3">
        <v>157599</v>
      </c>
      <c r="F79" s="3">
        <v>3.88</v>
      </c>
      <c r="G79" s="8">
        <v>7285</v>
      </c>
      <c r="H79" s="5">
        <f t="shared" si="1"/>
        <v>0.18083871090552606</v>
      </c>
    </row>
    <row r="80" spans="1:8" x14ac:dyDescent="0.3">
      <c r="A80" s="3" t="s">
        <v>30</v>
      </c>
      <c r="B80" s="3" t="s">
        <v>10</v>
      </c>
      <c r="C80" s="3">
        <v>201</v>
      </c>
      <c r="D80" s="3">
        <v>221</v>
      </c>
      <c r="E80" s="3">
        <v>309772</v>
      </c>
      <c r="F80" s="3">
        <v>5.9</v>
      </c>
      <c r="G80" s="8">
        <v>33174</v>
      </c>
      <c r="H80" s="5">
        <f t="shared" si="1"/>
        <v>-6.4563614529395824E-3</v>
      </c>
    </row>
    <row r="81" spans="1:8" x14ac:dyDescent="0.3">
      <c r="A81" s="3" t="s">
        <v>30</v>
      </c>
      <c r="B81" s="3" t="s">
        <v>11</v>
      </c>
      <c r="C81" s="3">
        <v>414</v>
      </c>
      <c r="D81" s="3">
        <v>47</v>
      </c>
      <c r="E81" s="3">
        <v>199178</v>
      </c>
      <c r="F81" s="3">
        <v>1.53</v>
      </c>
      <c r="G81" s="8">
        <v>6742</v>
      </c>
      <c r="H81" s="5">
        <f t="shared" si="1"/>
        <v>0.18425729749269498</v>
      </c>
    </row>
    <row r="82" spans="1:8" x14ac:dyDescent="0.3">
      <c r="A82" s="3" t="s">
        <v>31</v>
      </c>
      <c r="B82" s="3" t="s">
        <v>8</v>
      </c>
      <c r="C82" s="3">
        <v>703</v>
      </c>
      <c r="D82" s="3">
        <v>441</v>
      </c>
      <c r="E82" s="3">
        <v>357089</v>
      </c>
      <c r="F82" s="3">
        <v>6.5</v>
      </c>
      <c r="G82" s="8">
        <v>32478</v>
      </c>
      <c r="H82" s="5">
        <f t="shared" si="1"/>
        <v>7.3371064356504964E-2</v>
      </c>
    </row>
    <row r="83" spans="1:8" x14ac:dyDescent="0.3">
      <c r="A83" s="3" t="s">
        <v>31</v>
      </c>
      <c r="B83" s="3" t="s">
        <v>9</v>
      </c>
      <c r="C83" s="3">
        <v>508</v>
      </c>
      <c r="D83" s="3">
        <v>69</v>
      </c>
      <c r="E83" s="3">
        <v>23492</v>
      </c>
      <c r="F83" s="3">
        <v>3.16</v>
      </c>
      <c r="G83" s="8">
        <v>42824</v>
      </c>
      <c r="H83" s="5">
        <f t="shared" si="1"/>
        <v>1.8687212668142346</v>
      </c>
    </row>
    <row r="84" spans="1:8" x14ac:dyDescent="0.3">
      <c r="A84" s="3" t="s">
        <v>31</v>
      </c>
      <c r="B84" s="3" t="s">
        <v>10</v>
      </c>
      <c r="C84" s="3">
        <v>697</v>
      </c>
      <c r="D84" s="3">
        <v>61</v>
      </c>
      <c r="E84" s="3">
        <v>258287</v>
      </c>
      <c r="F84" s="3">
        <v>8.25</v>
      </c>
      <c r="G84" s="8">
        <v>21208</v>
      </c>
      <c r="H84" s="5">
        <f t="shared" si="1"/>
        <v>0.24623771231227276</v>
      </c>
    </row>
    <row r="85" spans="1:8" x14ac:dyDescent="0.3">
      <c r="A85" s="3" t="s">
        <v>31</v>
      </c>
      <c r="B85" s="3" t="s">
        <v>11</v>
      </c>
      <c r="C85" s="3">
        <v>1707</v>
      </c>
      <c r="D85" s="3">
        <v>223</v>
      </c>
      <c r="E85" s="3">
        <v>256910</v>
      </c>
      <c r="F85" s="3">
        <v>5.41</v>
      </c>
      <c r="G85" s="8">
        <v>44321</v>
      </c>
      <c r="H85" s="5">
        <f t="shared" si="1"/>
        <v>0.57763419096181545</v>
      </c>
    </row>
    <row r="86" spans="1:8" x14ac:dyDescent="0.3">
      <c r="A86" s="3" t="s">
        <v>32</v>
      </c>
      <c r="B86" s="3" t="s">
        <v>8</v>
      </c>
      <c r="C86" s="3">
        <v>642</v>
      </c>
      <c r="D86" s="3">
        <v>66</v>
      </c>
      <c r="E86" s="3">
        <v>346522</v>
      </c>
      <c r="F86" s="3">
        <v>5.85</v>
      </c>
      <c r="G86" s="8">
        <v>13116</v>
      </c>
      <c r="H86" s="5">
        <f t="shared" si="1"/>
        <v>0.166223212379012</v>
      </c>
    </row>
    <row r="87" spans="1:8" x14ac:dyDescent="0.3">
      <c r="A87" s="3" t="s">
        <v>32</v>
      </c>
      <c r="B87" s="3" t="s">
        <v>9</v>
      </c>
      <c r="C87" s="3">
        <v>859</v>
      </c>
      <c r="D87" s="3">
        <v>473</v>
      </c>
      <c r="E87" s="3">
        <v>209987</v>
      </c>
      <c r="F87" s="3">
        <v>4.46</v>
      </c>
      <c r="G87" s="8">
        <v>30214</v>
      </c>
      <c r="H87" s="5">
        <f t="shared" si="1"/>
        <v>0.18382090319876945</v>
      </c>
    </row>
    <row r="88" spans="1:8" x14ac:dyDescent="0.3">
      <c r="A88" s="3" t="s">
        <v>32</v>
      </c>
      <c r="B88" s="3" t="s">
        <v>10</v>
      </c>
      <c r="C88" s="3">
        <v>191</v>
      </c>
      <c r="D88" s="3">
        <v>154</v>
      </c>
      <c r="E88" s="3">
        <v>240550</v>
      </c>
      <c r="F88" s="3">
        <v>5.22</v>
      </c>
      <c r="G88" s="8">
        <v>15827</v>
      </c>
      <c r="H88" s="5">
        <f t="shared" si="1"/>
        <v>1.5381417584701726E-2</v>
      </c>
    </row>
    <row r="89" spans="1:8" x14ac:dyDescent="0.3">
      <c r="A89" s="3" t="s">
        <v>32</v>
      </c>
      <c r="B89" s="3" t="s">
        <v>11</v>
      </c>
      <c r="C89" s="3">
        <v>1814</v>
      </c>
      <c r="D89" s="3">
        <v>157</v>
      </c>
      <c r="E89" s="3">
        <v>305827</v>
      </c>
      <c r="F89" s="3">
        <v>1.99</v>
      </c>
      <c r="G89" s="8">
        <v>46643</v>
      </c>
      <c r="H89" s="5">
        <f t="shared" si="1"/>
        <v>0.54180958515762179</v>
      </c>
    </row>
    <row r="90" spans="1:8" x14ac:dyDescent="0.3">
      <c r="A90" s="3" t="s">
        <v>33</v>
      </c>
      <c r="B90" s="3" t="s">
        <v>8</v>
      </c>
      <c r="C90" s="3">
        <v>1466</v>
      </c>
      <c r="D90" s="3">
        <v>69</v>
      </c>
      <c r="E90" s="3">
        <v>54935</v>
      </c>
      <c r="F90" s="3">
        <v>6.85</v>
      </c>
      <c r="G90" s="8">
        <v>36484</v>
      </c>
      <c r="H90" s="5">
        <f t="shared" si="1"/>
        <v>2.5430053699827071</v>
      </c>
    </row>
    <row r="91" spans="1:8" x14ac:dyDescent="0.3">
      <c r="A91" s="3" t="s">
        <v>33</v>
      </c>
      <c r="B91" s="3" t="s">
        <v>9</v>
      </c>
      <c r="C91" s="3">
        <v>947</v>
      </c>
      <c r="D91" s="3">
        <v>407</v>
      </c>
      <c r="E91" s="3">
        <v>319186</v>
      </c>
      <c r="F91" s="3">
        <v>3.32</v>
      </c>
      <c r="G91" s="8">
        <v>4996</v>
      </c>
      <c r="H91" s="5">
        <f t="shared" si="1"/>
        <v>0.16918035252172714</v>
      </c>
    </row>
    <row r="92" spans="1:8" x14ac:dyDescent="0.3">
      <c r="A92" s="3" t="s">
        <v>33</v>
      </c>
      <c r="B92" s="3" t="s">
        <v>10</v>
      </c>
      <c r="C92" s="3">
        <v>1821</v>
      </c>
      <c r="D92" s="3">
        <v>218</v>
      </c>
      <c r="E92" s="3">
        <v>439080</v>
      </c>
      <c r="F92" s="3">
        <v>5.68</v>
      </c>
      <c r="G92" s="8">
        <v>36095</v>
      </c>
      <c r="H92" s="5">
        <f t="shared" si="1"/>
        <v>0.36508153411678962</v>
      </c>
    </row>
    <row r="93" spans="1:8" x14ac:dyDescent="0.3">
      <c r="A93" s="3" t="s">
        <v>33</v>
      </c>
      <c r="B93" s="3" t="s">
        <v>11</v>
      </c>
      <c r="C93" s="3">
        <v>1507</v>
      </c>
      <c r="D93" s="3">
        <v>463</v>
      </c>
      <c r="E93" s="3">
        <v>258944</v>
      </c>
      <c r="F93" s="3">
        <v>6.08</v>
      </c>
      <c r="G93" s="8">
        <v>16443</v>
      </c>
      <c r="H93" s="5">
        <f t="shared" si="1"/>
        <v>0.40317597627286211</v>
      </c>
    </row>
    <row r="94" spans="1:8" x14ac:dyDescent="0.3">
      <c r="A94" s="3" t="s">
        <v>34</v>
      </c>
      <c r="B94" s="3" t="s">
        <v>8</v>
      </c>
      <c r="C94" s="3">
        <v>1075</v>
      </c>
      <c r="D94" s="3">
        <v>173</v>
      </c>
      <c r="E94" s="3">
        <v>51395</v>
      </c>
      <c r="F94" s="3">
        <v>4.66</v>
      </c>
      <c r="G94" s="8">
        <v>47812</v>
      </c>
      <c r="H94" s="5">
        <f t="shared" si="1"/>
        <v>1.7550345364335054</v>
      </c>
    </row>
    <row r="95" spans="1:8" x14ac:dyDescent="0.3">
      <c r="A95" s="3" t="s">
        <v>34</v>
      </c>
      <c r="B95" s="3" t="s">
        <v>9</v>
      </c>
      <c r="C95" s="3">
        <v>171</v>
      </c>
      <c r="D95" s="3">
        <v>277</v>
      </c>
      <c r="E95" s="3">
        <v>309483</v>
      </c>
      <c r="F95" s="3">
        <v>8.6999999999999993</v>
      </c>
      <c r="G95" s="8">
        <v>38452</v>
      </c>
      <c r="H95" s="5">
        <f t="shared" si="1"/>
        <v>-3.4250669665215859E-2</v>
      </c>
    </row>
    <row r="96" spans="1:8" x14ac:dyDescent="0.3">
      <c r="A96" s="3" t="s">
        <v>34</v>
      </c>
      <c r="B96" s="3" t="s">
        <v>10</v>
      </c>
      <c r="C96" s="3">
        <v>1487</v>
      </c>
      <c r="D96" s="3">
        <v>337</v>
      </c>
      <c r="E96" s="3">
        <v>87305</v>
      </c>
      <c r="F96" s="3">
        <v>2.46</v>
      </c>
      <c r="G96" s="8">
        <v>30428</v>
      </c>
      <c r="H96" s="5">
        <f t="shared" si="1"/>
        <v>1.3172212358971422</v>
      </c>
    </row>
    <row r="97" spans="1:8" x14ac:dyDescent="0.3">
      <c r="A97" s="3" t="s">
        <v>34</v>
      </c>
      <c r="B97" s="3" t="s">
        <v>11</v>
      </c>
      <c r="C97" s="3">
        <v>454</v>
      </c>
      <c r="D97" s="3">
        <v>105</v>
      </c>
      <c r="E97" s="3">
        <v>121091</v>
      </c>
      <c r="F97" s="3">
        <v>7.97</v>
      </c>
      <c r="G97" s="8">
        <v>9269</v>
      </c>
      <c r="H97" s="5">
        <f t="shared" si="1"/>
        <v>0.28821299683708945</v>
      </c>
    </row>
    <row r="98" spans="1:8" x14ac:dyDescent="0.3">
      <c r="A98" s="3" t="s">
        <v>35</v>
      </c>
      <c r="B98" s="3" t="s">
        <v>8</v>
      </c>
      <c r="C98" s="3">
        <v>187</v>
      </c>
      <c r="D98" s="3">
        <v>236</v>
      </c>
      <c r="E98" s="3">
        <v>51087</v>
      </c>
      <c r="F98" s="3">
        <v>9.41</v>
      </c>
      <c r="G98" s="8">
        <v>29533</v>
      </c>
      <c r="H98" s="5">
        <f t="shared" si="1"/>
        <v>-9.5914811987394058E-2</v>
      </c>
    </row>
    <row r="99" spans="1:8" x14ac:dyDescent="0.3">
      <c r="A99" s="3" t="s">
        <v>35</v>
      </c>
      <c r="B99" s="3" t="s">
        <v>9</v>
      </c>
      <c r="C99" s="3">
        <v>513</v>
      </c>
      <c r="D99" s="3">
        <v>441</v>
      </c>
      <c r="E99" s="3">
        <v>338847</v>
      </c>
      <c r="F99" s="3">
        <v>2.68</v>
      </c>
      <c r="G99" s="8">
        <v>39997</v>
      </c>
      <c r="H99" s="5">
        <f t="shared" si="1"/>
        <v>2.124852809675163E-2</v>
      </c>
    </row>
    <row r="100" spans="1:8" x14ac:dyDescent="0.3">
      <c r="A100" s="3" t="s">
        <v>35</v>
      </c>
      <c r="B100" s="3" t="s">
        <v>10</v>
      </c>
      <c r="C100" s="3">
        <v>628</v>
      </c>
      <c r="D100" s="3">
        <v>183</v>
      </c>
      <c r="E100" s="3">
        <v>487523</v>
      </c>
      <c r="F100" s="3">
        <v>7.32</v>
      </c>
      <c r="G100" s="8">
        <v>5391</v>
      </c>
      <c r="H100" s="5">
        <f t="shared" si="1"/>
        <v>9.1277744844858608E-2</v>
      </c>
    </row>
    <row r="101" spans="1:8" x14ac:dyDescent="0.3">
      <c r="A101" s="3" t="s">
        <v>35</v>
      </c>
      <c r="B101" s="3" t="s">
        <v>11</v>
      </c>
      <c r="C101" s="3">
        <v>278</v>
      </c>
      <c r="D101" s="3">
        <v>218</v>
      </c>
      <c r="E101" s="3">
        <v>301695</v>
      </c>
      <c r="F101" s="3">
        <v>4.68</v>
      </c>
      <c r="G101" s="8">
        <v>22373</v>
      </c>
      <c r="H101" s="5">
        <f t="shared" si="1"/>
        <v>1.9887634863023914E-2</v>
      </c>
    </row>
    <row r="102" spans="1:8" x14ac:dyDescent="0.3">
      <c r="A102" s="3" t="s">
        <v>36</v>
      </c>
      <c r="B102" s="3" t="s">
        <v>8</v>
      </c>
      <c r="C102" s="3">
        <v>1854</v>
      </c>
      <c r="D102" s="3">
        <v>161</v>
      </c>
      <c r="E102" s="3">
        <v>282466</v>
      </c>
      <c r="F102" s="3">
        <v>5.17</v>
      </c>
      <c r="G102" s="8">
        <v>1810</v>
      </c>
      <c r="H102" s="5">
        <f t="shared" si="1"/>
        <v>0.59936417126309005</v>
      </c>
    </row>
    <row r="103" spans="1:8" x14ac:dyDescent="0.3">
      <c r="A103" s="3" t="s">
        <v>36</v>
      </c>
      <c r="B103" s="3" t="s">
        <v>9</v>
      </c>
      <c r="C103" s="3">
        <v>1710</v>
      </c>
      <c r="D103" s="3">
        <v>378</v>
      </c>
      <c r="E103" s="3">
        <v>336661</v>
      </c>
      <c r="F103" s="3">
        <v>6.2</v>
      </c>
      <c r="G103" s="8">
        <v>28498</v>
      </c>
      <c r="H103" s="5">
        <f t="shared" si="1"/>
        <v>0.39565022381564841</v>
      </c>
    </row>
    <row r="104" spans="1:8" x14ac:dyDescent="0.3">
      <c r="A104" s="3" t="s">
        <v>36</v>
      </c>
      <c r="B104" s="3" t="s">
        <v>10</v>
      </c>
      <c r="C104" s="3">
        <v>330</v>
      </c>
      <c r="D104" s="3">
        <v>232</v>
      </c>
      <c r="E104" s="3">
        <v>88455</v>
      </c>
      <c r="F104" s="3">
        <v>2.69</v>
      </c>
      <c r="G104" s="8">
        <v>39530</v>
      </c>
      <c r="H104" s="5">
        <f t="shared" si="1"/>
        <v>0.11079079758069074</v>
      </c>
    </row>
    <row r="105" spans="1:8" x14ac:dyDescent="0.3">
      <c r="A105" s="3" t="s">
        <v>36</v>
      </c>
      <c r="B105" s="3" t="s">
        <v>11</v>
      </c>
      <c r="C105" s="3">
        <v>1293</v>
      </c>
      <c r="D105" s="3">
        <v>408</v>
      </c>
      <c r="E105" s="3">
        <v>62535</v>
      </c>
      <c r="F105" s="3">
        <v>8.9</v>
      </c>
      <c r="G105" s="8">
        <v>37876</v>
      </c>
      <c r="H105" s="5">
        <f t="shared" si="1"/>
        <v>1.4152074838090669</v>
      </c>
    </row>
    <row r="106" spans="1:8" x14ac:dyDescent="0.3">
      <c r="A106" s="3" t="s">
        <v>37</v>
      </c>
      <c r="B106" s="3" t="s">
        <v>8</v>
      </c>
      <c r="C106" s="3">
        <v>1696</v>
      </c>
      <c r="D106" s="3">
        <v>71</v>
      </c>
      <c r="E106" s="3">
        <v>421957</v>
      </c>
      <c r="F106" s="3">
        <v>3.79</v>
      </c>
      <c r="G106" s="8">
        <v>36103</v>
      </c>
      <c r="H106" s="5">
        <f t="shared" si="1"/>
        <v>0.38511033114748661</v>
      </c>
    </row>
    <row r="107" spans="1:8" x14ac:dyDescent="0.3">
      <c r="A107" s="3" t="s">
        <v>37</v>
      </c>
      <c r="B107" s="3" t="s">
        <v>9</v>
      </c>
      <c r="C107" s="3">
        <v>1902</v>
      </c>
      <c r="D107" s="3">
        <v>196</v>
      </c>
      <c r="E107" s="3">
        <v>470269</v>
      </c>
      <c r="F107" s="3">
        <v>4.79</v>
      </c>
      <c r="G107" s="8">
        <v>26103</v>
      </c>
      <c r="H107" s="5">
        <f t="shared" si="1"/>
        <v>0.36277109484146308</v>
      </c>
    </row>
    <row r="108" spans="1:8" x14ac:dyDescent="0.3">
      <c r="A108" s="3" t="s">
        <v>37</v>
      </c>
      <c r="B108" s="3" t="s">
        <v>10</v>
      </c>
      <c r="C108" s="3">
        <v>1441</v>
      </c>
      <c r="D108" s="3">
        <v>268</v>
      </c>
      <c r="E108" s="3">
        <v>309904</v>
      </c>
      <c r="F108" s="3">
        <v>6.37</v>
      </c>
      <c r="G108" s="8">
        <v>3455</v>
      </c>
      <c r="H108" s="5">
        <f t="shared" si="1"/>
        <v>0.37850431101244258</v>
      </c>
    </row>
    <row r="109" spans="1:8" x14ac:dyDescent="0.3">
      <c r="A109" s="3" t="s">
        <v>37</v>
      </c>
      <c r="B109" s="3" t="s">
        <v>11</v>
      </c>
      <c r="C109" s="3">
        <v>452</v>
      </c>
      <c r="D109" s="3">
        <v>161</v>
      </c>
      <c r="E109" s="3">
        <v>221274</v>
      </c>
      <c r="F109" s="3">
        <v>2.65</v>
      </c>
      <c r="G109" s="8">
        <v>40888</v>
      </c>
      <c r="H109" s="5">
        <f t="shared" si="1"/>
        <v>0.13151115811166245</v>
      </c>
    </row>
    <row r="110" spans="1:8" x14ac:dyDescent="0.3">
      <c r="A110" s="3" t="s">
        <v>38</v>
      </c>
      <c r="B110" s="3" t="s">
        <v>8</v>
      </c>
      <c r="C110" s="3">
        <v>1494</v>
      </c>
      <c r="D110" s="3">
        <v>375</v>
      </c>
      <c r="E110" s="3">
        <v>220616</v>
      </c>
      <c r="F110" s="3">
        <v>1.81</v>
      </c>
      <c r="G110" s="8">
        <v>22724</v>
      </c>
      <c r="H110" s="5">
        <f t="shared" si="1"/>
        <v>0.5072161583928636</v>
      </c>
    </row>
    <row r="111" spans="1:8" x14ac:dyDescent="0.3">
      <c r="A111" s="3" t="s">
        <v>38</v>
      </c>
      <c r="B111" s="3" t="s">
        <v>9</v>
      </c>
      <c r="C111" s="3">
        <v>1514</v>
      </c>
      <c r="D111" s="3">
        <v>141</v>
      </c>
      <c r="E111" s="3">
        <v>35842</v>
      </c>
      <c r="F111" s="3">
        <v>7.47</v>
      </c>
      <c r="G111" s="8">
        <v>18601</v>
      </c>
      <c r="H111" s="5">
        <f t="shared" si="1"/>
        <v>3.8307014117515763</v>
      </c>
    </row>
    <row r="112" spans="1:8" x14ac:dyDescent="0.3">
      <c r="A112" s="3" t="s">
        <v>38</v>
      </c>
      <c r="B112" s="3" t="s">
        <v>10</v>
      </c>
      <c r="C112" s="3">
        <v>1937</v>
      </c>
      <c r="D112" s="3">
        <v>210</v>
      </c>
      <c r="E112" s="3">
        <v>20607</v>
      </c>
      <c r="F112" s="3">
        <v>4.2</v>
      </c>
      <c r="G112" s="8">
        <v>20861</v>
      </c>
      <c r="H112" s="5">
        <f t="shared" si="1"/>
        <v>8.3806473528412688</v>
      </c>
    </row>
    <row r="113" spans="1:8" x14ac:dyDescent="0.3">
      <c r="A113" s="3" t="s">
        <v>38</v>
      </c>
      <c r="B113" s="3" t="s">
        <v>11</v>
      </c>
      <c r="C113" s="3">
        <v>736</v>
      </c>
      <c r="D113" s="3">
        <v>163</v>
      </c>
      <c r="E113" s="3">
        <v>451894</v>
      </c>
      <c r="F113" s="3">
        <v>5.43</v>
      </c>
      <c r="G113" s="8">
        <v>46625</v>
      </c>
      <c r="H113" s="5">
        <f t="shared" si="1"/>
        <v>0.12679964770499277</v>
      </c>
    </row>
    <row r="114" spans="1:8" x14ac:dyDescent="0.3">
      <c r="A114" s="3" t="s">
        <v>39</v>
      </c>
      <c r="B114" s="3" t="s">
        <v>8</v>
      </c>
      <c r="C114" s="3">
        <v>1502</v>
      </c>
      <c r="D114" s="3">
        <v>70</v>
      </c>
      <c r="E114" s="3">
        <v>465553</v>
      </c>
      <c r="F114" s="3">
        <v>3.32</v>
      </c>
      <c r="G114" s="8">
        <v>20692</v>
      </c>
      <c r="H114" s="5">
        <f t="shared" si="1"/>
        <v>0.30759118725472717</v>
      </c>
    </row>
    <row r="115" spans="1:8" x14ac:dyDescent="0.3">
      <c r="A115" s="3" t="s">
        <v>39</v>
      </c>
      <c r="B115" s="3" t="s">
        <v>9</v>
      </c>
      <c r="C115" s="3">
        <v>1623</v>
      </c>
      <c r="D115" s="3">
        <v>246</v>
      </c>
      <c r="E115" s="3">
        <v>415815</v>
      </c>
      <c r="F115" s="3">
        <v>8.11</v>
      </c>
      <c r="G115" s="8">
        <v>18656</v>
      </c>
      <c r="H115" s="5">
        <f t="shared" si="1"/>
        <v>0.33115688467227011</v>
      </c>
    </row>
    <row r="116" spans="1:8" x14ac:dyDescent="0.3">
      <c r="A116" s="3" t="s">
        <v>39</v>
      </c>
      <c r="B116" s="3" t="s">
        <v>10</v>
      </c>
      <c r="C116" s="3">
        <v>1592</v>
      </c>
      <c r="D116" s="3">
        <v>233</v>
      </c>
      <c r="E116" s="3">
        <v>327183</v>
      </c>
      <c r="F116" s="3">
        <v>6.66</v>
      </c>
      <c r="G116" s="8">
        <v>13316</v>
      </c>
      <c r="H116" s="5">
        <f t="shared" si="1"/>
        <v>0.41536387893013998</v>
      </c>
    </row>
    <row r="117" spans="1:8" x14ac:dyDescent="0.3">
      <c r="A117" s="3" t="s">
        <v>39</v>
      </c>
      <c r="B117" s="3" t="s">
        <v>11</v>
      </c>
      <c r="C117" s="3">
        <v>1004</v>
      </c>
      <c r="D117" s="3">
        <v>128</v>
      </c>
      <c r="E117" s="3">
        <v>488901</v>
      </c>
      <c r="F117" s="3">
        <v>8.09</v>
      </c>
      <c r="G117" s="8">
        <v>49558</v>
      </c>
      <c r="H117" s="5">
        <f t="shared" si="1"/>
        <v>0.17917737946946316</v>
      </c>
    </row>
    <row r="118" spans="1:8" x14ac:dyDescent="0.3">
      <c r="A118" s="3" t="s">
        <v>40</v>
      </c>
      <c r="B118" s="3" t="s">
        <v>8</v>
      </c>
      <c r="C118" s="3">
        <v>1092</v>
      </c>
      <c r="D118" s="3">
        <v>408</v>
      </c>
      <c r="E118" s="3">
        <v>280795</v>
      </c>
      <c r="F118" s="3">
        <v>8.44</v>
      </c>
      <c r="G118" s="8">
        <v>4683</v>
      </c>
      <c r="H118" s="5">
        <f t="shared" si="1"/>
        <v>0.24359408109118752</v>
      </c>
    </row>
    <row r="119" spans="1:8" x14ac:dyDescent="0.3">
      <c r="A119" s="3" t="s">
        <v>40</v>
      </c>
      <c r="B119" s="3" t="s">
        <v>9</v>
      </c>
      <c r="C119" s="3">
        <v>1155</v>
      </c>
      <c r="D119" s="3">
        <v>425</v>
      </c>
      <c r="E119" s="3">
        <v>93347</v>
      </c>
      <c r="F119" s="3">
        <v>2.02</v>
      </c>
      <c r="G119" s="8">
        <v>47502</v>
      </c>
      <c r="H119" s="5">
        <f t="shared" si="1"/>
        <v>0.78202834584935776</v>
      </c>
    </row>
    <row r="120" spans="1:8" x14ac:dyDescent="0.3">
      <c r="A120" s="3" t="s">
        <v>40</v>
      </c>
      <c r="B120" s="3" t="s">
        <v>10</v>
      </c>
      <c r="C120" s="3">
        <v>1137</v>
      </c>
      <c r="D120" s="3">
        <v>226</v>
      </c>
      <c r="E120" s="3">
        <v>81119</v>
      </c>
      <c r="F120" s="3">
        <v>7.74</v>
      </c>
      <c r="G120" s="8">
        <v>35359</v>
      </c>
      <c r="H120" s="5">
        <f t="shared" si="1"/>
        <v>1.123041457611657</v>
      </c>
    </row>
    <row r="121" spans="1:8" x14ac:dyDescent="0.3">
      <c r="A121" s="3" t="s">
        <v>40</v>
      </c>
      <c r="B121" s="3" t="s">
        <v>11</v>
      </c>
      <c r="C121" s="3">
        <v>1900</v>
      </c>
      <c r="D121" s="3">
        <v>311</v>
      </c>
      <c r="E121" s="3">
        <v>25177</v>
      </c>
      <c r="F121" s="3">
        <v>2.89</v>
      </c>
      <c r="G121" s="8">
        <v>14154</v>
      </c>
      <c r="H121" s="5">
        <f t="shared" si="1"/>
        <v>6.3113158835445047</v>
      </c>
    </row>
    <row r="122" spans="1:8" x14ac:dyDescent="0.3">
      <c r="A122" s="3" t="s">
        <v>41</v>
      </c>
      <c r="B122" s="3" t="s">
        <v>8</v>
      </c>
      <c r="C122" s="3">
        <v>1814</v>
      </c>
      <c r="D122" s="3">
        <v>49</v>
      </c>
      <c r="E122" s="3">
        <v>140804</v>
      </c>
      <c r="F122" s="3">
        <v>1.76</v>
      </c>
      <c r="G122" s="8">
        <v>4313</v>
      </c>
      <c r="H122" s="5">
        <f t="shared" si="1"/>
        <v>1.2535155251271271</v>
      </c>
    </row>
    <row r="123" spans="1:8" x14ac:dyDescent="0.3">
      <c r="A123" s="3" t="s">
        <v>41</v>
      </c>
      <c r="B123" s="3" t="s">
        <v>9</v>
      </c>
      <c r="C123" s="3">
        <v>1980</v>
      </c>
      <c r="D123" s="3">
        <v>204</v>
      </c>
      <c r="E123" s="3">
        <v>379431</v>
      </c>
      <c r="F123" s="3">
        <v>3.09</v>
      </c>
      <c r="G123" s="8">
        <v>25140</v>
      </c>
      <c r="H123" s="5">
        <f t="shared" si="1"/>
        <v>0.46806929323118035</v>
      </c>
    </row>
    <row r="124" spans="1:8" x14ac:dyDescent="0.3">
      <c r="A124" s="3" t="s">
        <v>41</v>
      </c>
      <c r="B124" s="3" t="s">
        <v>10</v>
      </c>
      <c r="C124" s="3">
        <v>1786</v>
      </c>
      <c r="D124" s="3">
        <v>257</v>
      </c>
      <c r="E124" s="3">
        <v>274831</v>
      </c>
      <c r="F124" s="3">
        <v>4.68</v>
      </c>
      <c r="G124" s="8">
        <v>9118</v>
      </c>
      <c r="H124" s="5">
        <f t="shared" si="1"/>
        <v>0.55634189738421069</v>
      </c>
    </row>
    <row r="125" spans="1:8" x14ac:dyDescent="0.3">
      <c r="A125" s="3" t="s">
        <v>41</v>
      </c>
      <c r="B125" s="3" t="s">
        <v>11</v>
      </c>
      <c r="C125" s="3">
        <v>1495</v>
      </c>
      <c r="D125" s="3">
        <v>35</v>
      </c>
      <c r="E125" s="3">
        <v>136845</v>
      </c>
      <c r="F125" s="3">
        <v>4.4800000000000004</v>
      </c>
      <c r="G125" s="8">
        <v>39931</v>
      </c>
      <c r="H125" s="5">
        <f t="shared" si="1"/>
        <v>1.0669005078738718</v>
      </c>
    </row>
    <row r="126" spans="1:8" x14ac:dyDescent="0.3">
      <c r="A126" s="3" t="s">
        <v>42</v>
      </c>
      <c r="B126" s="3" t="s">
        <v>8</v>
      </c>
      <c r="C126" s="3">
        <v>1013</v>
      </c>
      <c r="D126" s="3">
        <v>110</v>
      </c>
      <c r="E126" s="3">
        <v>466382</v>
      </c>
      <c r="F126" s="3">
        <v>5.3</v>
      </c>
      <c r="G126" s="8">
        <v>37132</v>
      </c>
      <c r="H126" s="5">
        <f t="shared" si="1"/>
        <v>0.19361810704529764</v>
      </c>
    </row>
    <row r="127" spans="1:8" x14ac:dyDescent="0.3">
      <c r="A127" s="3" t="s">
        <v>42</v>
      </c>
      <c r="B127" s="3" t="s">
        <v>9</v>
      </c>
      <c r="C127" s="3">
        <v>816</v>
      </c>
      <c r="D127" s="3">
        <v>196</v>
      </c>
      <c r="E127" s="3">
        <v>95728</v>
      </c>
      <c r="F127" s="3">
        <v>8.1999999999999993</v>
      </c>
      <c r="G127" s="8">
        <v>17951</v>
      </c>
      <c r="H127" s="5">
        <f t="shared" si="1"/>
        <v>0.64766839378238339</v>
      </c>
    </row>
    <row r="128" spans="1:8" x14ac:dyDescent="0.3">
      <c r="A128" s="3" t="s">
        <v>42</v>
      </c>
      <c r="B128" s="3" t="s">
        <v>10</v>
      </c>
      <c r="C128" s="3">
        <v>1633</v>
      </c>
      <c r="D128" s="3">
        <v>445</v>
      </c>
      <c r="E128" s="3">
        <v>371156</v>
      </c>
      <c r="F128" s="3">
        <v>2.2200000000000002</v>
      </c>
      <c r="G128" s="8">
        <v>2798</v>
      </c>
      <c r="H128" s="5">
        <f t="shared" si="1"/>
        <v>0.32008104408927779</v>
      </c>
    </row>
    <row r="129" spans="1:8" x14ac:dyDescent="0.3">
      <c r="A129" s="3" t="s">
        <v>42</v>
      </c>
      <c r="B129" s="3" t="s">
        <v>11</v>
      </c>
      <c r="C129" s="3">
        <v>891</v>
      </c>
      <c r="D129" s="3">
        <v>45</v>
      </c>
      <c r="E129" s="3">
        <v>95410</v>
      </c>
      <c r="F129" s="3">
        <v>8.33</v>
      </c>
      <c r="G129" s="8">
        <v>15045</v>
      </c>
      <c r="H129" s="5">
        <f t="shared" si="1"/>
        <v>0.88669950738916259</v>
      </c>
    </row>
    <row r="130" spans="1:8" x14ac:dyDescent="0.3">
      <c r="A130" s="3" t="s">
        <v>43</v>
      </c>
      <c r="B130" s="3" t="s">
        <v>8</v>
      </c>
      <c r="C130" s="3">
        <v>1855</v>
      </c>
      <c r="D130" s="3">
        <v>133</v>
      </c>
      <c r="E130" s="3">
        <v>349413</v>
      </c>
      <c r="F130" s="3">
        <v>3.3</v>
      </c>
      <c r="G130" s="8">
        <v>14548</v>
      </c>
      <c r="H130" s="5">
        <f t="shared" si="1"/>
        <v>0.49282654051223052</v>
      </c>
    </row>
    <row r="131" spans="1:8" x14ac:dyDescent="0.3">
      <c r="A131" s="3" t="s">
        <v>43</v>
      </c>
      <c r="B131" s="3" t="s">
        <v>9</v>
      </c>
      <c r="C131" s="3">
        <v>651</v>
      </c>
      <c r="D131" s="3">
        <v>353</v>
      </c>
      <c r="E131" s="3">
        <v>224699</v>
      </c>
      <c r="F131" s="3">
        <v>5.61</v>
      </c>
      <c r="G131" s="8">
        <v>45708</v>
      </c>
      <c r="H131" s="5">
        <f t="shared" ref="H131:H194" si="2">(C131-D131)/E131*100</f>
        <v>0.13262186302564766</v>
      </c>
    </row>
    <row r="132" spans="1:8" x14ac:dyDescent="0.3">
      <c r="A132" s="3" t="s">
        <v>43</v>
      </c>
      <c r="B132" s="3" t="s">
        <v>10</v>
      </c>
      <c r="C132" s="3">
        <v>118</v>
      </c>
      <c r="D132" s="3">
        <v>262</v>
      </c>
      <c r="E132" s="3">
        <v>487896</v>
      </c>
      <c r="F132" s="3">
        <v>2.56</v>
      </c>
      <c r="G132" s="8">
        <v>12350</v>
      </c>
      <c r="H132" s="5">
        <f t="shared" si="2"/>
        <v>-2.9514486693885584E-2</v>
      </c>
    </row>
    <row r="133" spans="1:8" x14ac:dyDescent="0.3">
      <c r="A133" s="3" t="s">
        <v>43</v>
      </c>
      <c r="B133" s="3" t="s">
        <v>11</v>
      </c>
      <c r="C133" s="3">
        <v>1331</v>
      </c>
      <c r="D133" s="3">
        <v>430</v>
      </c>
      <c r="E133" s="3">
        <v>14437</v>
      </c>
      <c r="F133" s="3">
        <v>3.29</v>
      </c>
      <c r="G133" s="8">
        <v>40868</v>
      </c>
      <c r="H133" s="5">
        <f t="shared" si="2"/>
        <v>6.2409087760615085</v>
      </c>
    </row>
    <row r="134" spans="1:8" x14ac:dyDescent="0.3">
      <c r="A134" s="3" t="s">
        <v>44</v>
      </c>
      <c r="B134" s="3" t="s">
        <v>8</v>
      </c>
      <c r="C134" s="3">
        <v>1748</v>
      </c>
      <c r="D134" s="3">
        <v>176</v>
      </c>
      <c r="E134" s="3">
        <v>383681</v>
      </c>
      <c r="F134" s="3">
        <v>9.24</v>
      </c>
      <c r="G134" s="8">
        <v>43122</v>
      </c>
      <c r="H134" s="5">
        <f t="shared" si="2"/>
        <v>0.40971536250166152</v>
      </c>
    </row>
    <row r="135" spans="1:8" x14ac:dyDescent="0.3">
      <c r="A135" s="3" t="s">
        <v>44</v>
      </c>
      <c r="B135" s="3" t="s">
        <v>9</v>
      </c>
      <c r="C135" s="3">
        <v>663</v>
      </c>
      <c r="D135" s="3">
        <v>236</v>
      </c>
      <c r="E135" s="3">
        <v>479490</v>
      </c>
      <c r="F135" s="3">
        <v>4.51</v>
      </c>
      <c r="G135" s="8">
        <v>23853</v>
      </c>
      <c r="H135" s="5">
        <f t="shared" si="2"/>
        <v>8.905295209493419E-2</v>
      </c>
    </row>
    <row r="136" spans="1:8" x14ac:dyDescent="0.3">
      <c r="A136" s="3" t="s">
        <v>44</v>
      </c>
      <c r="B136" s="3" t="s">
        <v>10</v>
      </c>
      <c r="C136" s="3">
        <v>1040</v>
      </c>
      <c r="D136" s="3">
        <v>149</v>
      </c>
      <c r="E136" s="3">
        <v>124404</v>
      </c>
      <c r="F136" s="3">
        <v>5.23</v>
      </c>
      <c r="G136" s="8">
        <v>45380</v>
      </c>
      <c r="H136" s="5">
        <f t="shared" si="2"/>
        <v>0.71621491270377158</v>
      </c>
    </row>
    <row r="137" spans="1:8" x14ac:dyDescent="0.3">
      <c r="A137" s="3" t="s">
        <v>44</v>
      </c>
      <c r="B137" s="3" t="s">
        <v>11</v>
      </c>
      <c r="C137" s="3">
        <v>1166</v>
      </c>
      <c r="D137" s="3">
        <v>442</v>
      </c>
      <c r="E137" s="3">
        <v>336949</v>
      </c>
      <c r="F137" s="3">
        <v>4.68</v>
      </c>
      <c r="G137" s="8">
        <v>7705</v>
      </c>
      <c r="H137" s="5">
        <f t="shared" si="2"/>
        <v>0.2148693125665902</v>
      </c>
    </row>
    <row r="138" spans="1:8" x14ac:dyDescent="0.3">
      <c r="A138" s="3" t="s">
        <v>45</v>
      </c>
      <c r="B138" s="3" t="s">
        <v>8</v>
      </c>
      <c r="C138" s="3">
        <v>115</v>
      </c>
      <c r="D138" s="3">
        <v>281</v>
      </c>
      <c r="E138" s="3">
        <v>357265</v>
      </c>
      <c r="F138" s="3">
        <v>9.23</v>
      </c>
      <c r="G138" s="8">
        <v>25525</v>
      </c>
      <c r="H138" s="5">
        <f t="shared" si="2"/>
        <v>-4.6464109274628081E-2</v>
      </c>
    </row>
    <row r="139" spans="1:8" x14ac:dyDescent="0.3">
      <c r="A139" s="3" t="s">
        <v>45</v>
      </c>
      <c r="B139" s="3" t="s">
        <v>9</v>
      </c>
      <c r="C139" s="3">
        <v>1249</v>
      </c>
      <c r="D139" s="3">
        <v>351</v>
      </c>
      <c r="E139" s="3">
        <v>321307</v>
      </c>
      <c r="F139" s="3">
        <v>6.37</v>
      </c>
      <c r="G139" s="8">
        <v>20560</v>
      </c>
      <c r="H139" s="5">
        <f t="shared" si="2"/>
        <v>0.27948348464241363</v>
      </c>
    </row>
    <row r="140" spans="1:8" x14ac:dyDescent="0.3">
      <c r="A140" s="3" t="s">
        <v>45</v>
      </c>
      <c r="B140" s="3" t="s">
        <v>10</v>
      </c>
      <c r="C140" s="3">
        <v>1501</v>
      </c>
      <c r="D140" s="3">
        <v>75</v>
      </c>
      <c r="E140" s="3">
        <v>262569</v>
      </c>
      <c r="F140" s="3">
        <v>2.0099999999999998</v>
      </c>
      <c r="G140" s="8">
        <v>19119</v>
      </c>
      <c r="H140" s="5">
        <f t="shared" si="2"/>
        <v>0.54309533874905258</v>
      </c>
    </row>
    <row r="141" spans="1:8" x14ac:dyDescent="0.3">
      <c r="A141" s="3" t="s">
        <v>45</v>
      </c>
      <c r="B141" s="3" t="s">
        <v>11</v>
      </c>
      <c r="C141" s="3">
        <v>1411</v>
      </c>
      <c r="D141" s="3">
        <v>186</v>
      </c>
      <c r="E141" s="3">
        <v>461669</v>
      </c>
      <c r="F141" s="3">
        <v>3.72</v>
      </c>
      <c r="G141" s="8">
        <v>43999</v>
      </c>
      <c r="H141" s="5">
        <f t="shared" si="2"/>
        <v>0.26534161921203286</v>
      </c>
    </row>
    <row r="142" spans="1:8" x14ac:dyDescent="0.3">
      <c r="A142" s="3" t="s">
        <v>46</v>
      </c>
      <c r="B142" s="3" t="s">
        <v>8</v>
      </c>
      <c r="C142" s="3">
        <v>1556</v>
      </c>
      <c r="D142" s="3">
        <v>476</v>
      </c>
      <c r="E142" s="3">
        <v>351556</v>
      </c>
      <c r="F142" s="3">
        <v>3.89</v>
      </c>
      <c r="G142" s="8">
        <v>10825</v>
      </c>
      <c r="H142" s="5">
        <f t="shared" si="2"/>
        <v>0.30720567989168157</v>
      </c>
    </row>
    <row r="143" spans="1:8" x14ac:dyDescent="0.3">
      <c r="A143" s="3" t="s">
        <v>46</v>
      </c>
      <c r="B143" s="3" t="s">
        <v>9</v>
      </c>
      <c r="C143" s="3">
        <v>1159</v>
      </c>
      <c r="D143" s="3">
        <v>411</v>
      </c>
      <c r="E143" s="3">
        <v>135987</v>
      </c>
      <c r="F143" s="3">
        <v>8.6999999999999993</v>
      </c>
      <c r="G143" s="8">
        <v>40323</v>
      </c>
      <c r="H143" s="5">
        <f t="shared" si="2"/>
        <v>0.5500525785553031</v>
      </c>
    </row>
    <row r="144" spans="1:8" x14ac:dyDescent="0.3">
      <c r="A144" s="3" t="s">
        <v>46</v>
      </c>
      <c r="B144" s="3" t="s">
        <v>10</v>
      </c>
      <c r="C144" s="3">
        <v>927</v>
      </c>
      <c r="D144" s="3">
        <v>358</v>
      </c>
      <c r="E144" s="3">
        <v>177554</v>
      </c>
      <c r="F144" s="3">
        <v>6.95</v>
      </c>
      <c r="G144" s="8">
        <v>48270</v>
      </c>
      <c r="H144" s="5">
        <f t="shared" si="2"/>
        <v>0.32046588643454949</v>
      </c>
    </row>
    <row r="145" spans="1:8" x14ac:dyDescent="0.3">
      <c r="A145" s="3" t="s">
        <v>46</v>
      </c>
      <c r="B145" s="3" t="s">
        <v>11</v>
      </c>
      <c r="C145" s="3">
        <v>152</v>
      </c>
      <c r="D145" s="3">
        <v>355</v>
      </c>
      <c r="E145" s="3">
        <v>270766</v>
      </c>
      <c r="F145" s="3">
        <v>9.48</v>
      </c>
      <c r="G145" s="8">
        <v>18001</v>
      </c>
      <c r="H145" s="5">
        <f t="shared" si="2"/>
        <v>-7.4972485467156139E-2</v>
      </c>
    </row>
    <row r="146" spans="1:8" x14ac:dyDescent="0.3">
      <c r="A146" s="3" t="s">
        <v>47</v>
      </c>
      <c r="B146" s="3" t="s">
        <v>8</v>
      </c>
      <c r="C146" s="3">
        <v>1957</v>
      </c>
      <c r="D146" s="3">
        <v>234</v>
      </c>
      <c r="E146" s="3">
        <v>222126</v>
      </c>
      <c r="F146" s="3">
        <v>4.6100000000000003</v>
      </c>
      <c r="G146" s="8">
        <v>3314</v>
      </c>
      <c r="H146" s="5">
        <f t="shared" si="2"/>
        <v>0.77568587198256844</v>
      </c>
    </row>
    <row r="147" spans="1:8" x14ac:dyDescent="0.3">
      <c r="A147" s="3" t="s">
        <v>47</v>
      </c>
      <c r="B147" s="3" t="s">
        <v>9</v>
      </c>
      <c r="C147" s="3">
        <v>1294</v>
      </c>
      <c r="D147" s="3">
        <v>382</v>
      </c>
      <c r="E147" s="3">
        <v>309914</v>
      </c>
      <c r="F147" s="3">
        <v>8.0299999999999994</v>
      </c>
      <c r="G147" s="8">
        <v>23489</v>
      </c>
      <c r="H147" s="5">
        <f t="shared" si="2"/>
        <v>0.29427518601934727</v>
      </c>
    </row>
    <row r="148" spans="1:8" x14ac:dyDescent="0.3">
      <c r="A148" s="3" t="s">
        <v>47</v>
      </c>
      <c r="B148" s="3" t="s">
        <v>10</v>
      </c>
      <c r="C148" s="3">
        <v>1587</v>
      </c>
      <c r="D148" s="3">
        <v>385</v>
      </c>
      <c r="E148" s="3">
        <v>126582</v>
      </c>
      <c r="F148" s="3">
        <v>6.99</v>
      </c>
      <c r="G148" s="8">
        <v>42832</v>
      </c>
      <c r="H148" s="5">
        <f t="shared" si="2"/>
        <v>0.94958208908059605</v>
      </c>
    </row>
    <row r="149" spans="1:8" x14ac:dyDescent="0.3">
      <c r="A149" s="3" t="s">
        <v>47</v>
      </c>
      <c r="B149" s="3" t="s">
        <v>11</v>
      </c>
      <c r="C149" s="3">
        <v>1707</v>
      </c>
      <c r="D149" s="3">
        <v>263</v>
      </c>
      <c r="E149" s="3">
        <v>485280</v>
      </c>
      <c r="F149" s="3">
        <v>9.0299999999999994</v>
      </c>
      <c r="G149" s="8">
        <v>24494</v>
      </c>
      <c r="H149" s="5">
        <f t="shared" si="2"/>
        <v>0.29756017144741181</v>
      </c>
    </row>
    <row r="150" spans="1:8" x14ac:dyDescent="0.3">
      <c r="A150" s="3" t="s">
        <v>48</v>
      </c>
      <c r="B150" s="3" t="s">
        <v>8</v>
      </c>
      <c r="C150" s="3">
        <v>1138</v>
      </c>
      <c r="D150" s="3">
        <v>173</v>
      </c>
      <c r="E150" s="3">
        <v>453243</v>
      </c>
      <c r="F150" s="3">
        <v>2.86</v>
      </c>
      <c r="G150" s="8">
        <v>44097</v>
      </c>
      <c r="H150" s="5">
        <f t="shared" si="2"/>
        <v>0.21291007252180397</v>
      </c>
    </row>
    <row r="151" spans="1:8" x14ac:dyDescent="0.3">
      <c r="A151" s="3" t="s">
        <v>48</v>
      </c>
      <c r="B151" s="3" t="s">
        <v>9</v>
      </c>
      <c r="C151" s="3">
        <v>1895</v>
      </c>
      <c r="D151" s="3">
        <v>305</v>
      </c>
      <c r="E151" s="3">
        <v>104967</v>
      </c>
      <c r="F151" s="3">
        <v>3.85</v>
      </c>
      <c r="G151" s="8">
        <v>31853</v>
      </c>
      <c r="H151" s="5">
        <f t="shared" si="2"/>
        <v>1.5147617822744293</v>
      </c>
    </row>
    <row r="152" spans="1:8" x14ac:dyDescent="0.3">
      <c r="A152" s="3" t="s">
        <v>48</v>
      </c>
      <c r="B152" s="3" t="s">
        <v>10</v>
      </c>
      <c r="C152" s="3">
        <v>362</v>
      </c>
      <c r="D152" s="3">
        <v>399</v>
      </c>
      <c r="E152" s="3">
        <v>145608</v>
      </c>
      <c r="F152" s="3">
        <v>7.3</v>
      </c>
      <c r="G152" s="8">
        <v>37636</v>
      </c>
      <c r="H152" s="5">
        <f t="shared" si="2"/>
        <v>-2.5410691720235155E-2</v>
      </c>
    </row>
    <row r="153" spans="1:8" x14ac:dyDescent="0.3">
      <c r="A153" s="3" t="s">
        <v>48</v>
      </c>
      <c r="B153" s="3" t="s">
        <v>11</v>
      </c>
      <c r="C153" s="3">
        <v>1662</v>
      </c>
      <c r="D153" s="3">
        <v>487</v>
      </c>
      <c r="E153" s="3">
        <v>105980</v>
      </c>
      <c r="F153" s="3">
        <v>9.08</v>
      </c>
      <c r="G153" s="8">
        <v>22996</v>
      </c>
      <c r="H153" s="5">
        <f t="shared" si="2"/>
        <v>1.1086997546706925</v>
      </c>
    </row>
    <row r="154" spans="1:8" x14ac:dyDescent="0.3">
      <c r="A154" s="3" t="s">
        <v>49</v>
      </c>
      <c r="B154" s="3" t="s">
        <v>8</v>
      </c>
      <c r="C154" s="3">
        <v>1440</v>
      </c>
      <c r="D154" s="3">
        <v>65</v>
      </c>
      <c r="E154" s="3">
        <v>126524</v>
      </c>
      <c r="F154" s="3">
        <v>4.34</v>
      </c>
      <c r="G154" s="8">
        <v>49772</v>
      </c>
      <c r="H154" s="5">
        <f t="shared" si="2"/>
        <v>1.08675033985647</v>
      </c>
    </row>
    <row r="155" spans="1:8" x14ac:dyDescent="0.3">
      <c r="A155" s="3" t="s">
        <v>49</v>
      </c>
      <c r="B155" s="3" t="s">
        <v>9</v>
      </c>
      <c r="C155" s="3">
        <v>1884</v>
      </c>
      <c r="D155" s="3">
        <v>177</v>
      </c>
      <c r="E155" s="3">
        <v>230448</v>
      </c>
      <c r="F155" s="3">
        <v>7.8</v>
      </c>
      <c r="G155" s="8">
        <v>22713</v>
      </c>
      <c r="H155" s="5">
        <f t="shared" si="2"/>
        <v>0.74073109768798173</v>
      </c>
    </row>
    <row r="156" spans="1:8" x14ac:dyDescent="0.3">
      <c r="A156" s="3" t="s">
        <v>49</v>
      </c>
      <c r="B156" s="3" t="s">
        <v>10</v>
      </c>
      <c r="C156" s="3">
        <v>861</v>
      </c>
      <c r="D156" s="3">
        <v>153</v>
      </c>
      <c r="E156" s="3">
        <v>317007</v>
      </c>
      <c r="F156" s="3">
        <v>3.85</v>
      </c>
      <c r="G156" s="8">
        <v>8718</v>
      </c>
      <c r="H156" s="5">
        <f t="shared" si="2"/>
        <v>0.22333891680625351</v>
      </c>
    </row>
    <row r="157" spans="1:8" x14ac:dyDescent="0.3">
      <c r="A157" s="3" t="s">
        <v>49</v>
      </c>
      <c r="B157" s="3" t="s">
        <v>11</v>
      </c>
      <c r="C157" s="3">
        <v>1063</v>
      </c>
      <c r="D157" s="3">
        <v>47</v>
      </c>
      <c r="E157" s="3">
        <v>464239</v>
      </c>
      <c r="F157" s="3">
        <v>6.58</v>
      </c>
      <c r="G157" s="8">
        <v>39031</v>
      </c>
      <c r="H157" s="5">
        <f t="shared" si="2"/>
        <v>0.21885278918832757</v>
      </c>
    </row>
    <row r="158" spans="1:8" x14ac:dyDescent="0.3">
      <c r="A158" s="3" t="s">
        <v>50</v>
      </c>
      <c r="B158" s="3" t="s">
        <v>8</v>
      </c>
      <c r="C158" s="3">
        <v>1371</v>
      </c>
      <c r="D158" s="3">
        <v>56</v>
      </c>
      <c r="E158" s="3">
        <v>257579</v>
      </c>
      <c r="F158" s="3">
        <v>8.6199999999999992</v>
      </c>
      <c r="G158" s="8">
        <v>33799</v>
      </c>
      <c r="H158" s="5">
        <f t="shared" si="2"/>
        <v>0.51052298518124528</v>
      </c>
    </row>
    <row r="159" spans="1:8" x14ac:dyDescent="0.3">
      <c r="A159" s="3" t="s">
        <v>50</v>
      </c>
      <c r="B159" s="3" t="s">
        <v>9</v>
      </c>
      <c r="C159" s="3">
        <v>345</v>
      </c>
      <c r="D159" s="3">
        <v>464</v>
      </c>
      <c r="E159" s="3">
        <v>366881</v>
      </c>
      <c r="F159" s="3">
        <v>4.55</v>
      </c>
      <c r="G159" s="8">
        <v>20553</v>
      </c>
      <c r="H159" s="5">
        <f t="shared" si="2"/>
        <v>-3.2435585380545737E-2</v>
      </c>
    </row>
    <row r="160" spans="1:8" x14ac:dyDescent="0.3">
      <c r="A160" s="3" t="s">
        <v>50</v>
      </c>
      <c r="B160" s="3" t="s">
        <v>10</v>
      </c>
      <c r="C160" s="3">
        <v>946</v>
      </c>
      <c r="D160" s="3">
        <v>47</v>
      </c>
      <c r="E160" s="3">
        <v>466575</v>
      </c>
      <c r="F160" s="3">
        <v>8.33</v>
      </c>
      <c r="G160" s="8">
        <v>10002</v>
      </c>
      <c r="H160" s="5">
        <f t="shared" si="2"/>
        <v>0.19268070513850935</v>
      </c>
    </row>
    <row r="161" spans="1:8" x14ac:dyDescent="0.3">
      <c r="A161" s="3" t="s">
        <v>50</v>
      </c>
      <c r="B161" s="3" t="s">
        <v>11</v>
      </c>
      <c r="C161" s="3">
        <v>510</v>
      </c>
      <c r="D161" s="3">
        <v>195</v>
      </c>
      <c r="E161" s="3">
        <v>224534</v>
      </c>
      <c r="F161" s="3">
        <v>9.4</v>
      </c>
      <c r="G161" s="8">
        <v>30987</v>
      </c>
      <c r="H161" s="5">
        <f t="shared" si="2"/>
        <v>0.14029055733207443</v>
      </c>
    </row>
    <row r="162" spans="1:8" x14ac:dyDescent="0.3">
      <c r="A162" s="3" t="s">
        <v>51</v>
      </c>
      <c r="B162" s="3" t="s">
        <v>8</v>
      </c>
      <c r="C162" s="3">
        <v>393</v>
      </c>
      <c r="D162" s="3">
        <v>181</v>
      </c>
      <c r="E162" s="3">
        <v>462142</v>
      </c>
      <c r="F162" s="3">
        <v>7.23</v>
      </c>
      <c r="G162" s="8">
        <v>6296</v>
      </c>
      <c r="H162" s="5">
        <f t="shared" si="2"/>
        <v>4.5873346287504703E-2</v>
      </c>
    </row>
    <row r="163" spans="1:8" x14ac:dyDescent="0.3">
      <c r="A163" s="3" t="s">
        <v>51</v>
      </c>
      <c r="B163" s="3" t="s">
        <v>9</v>
      </c>
      <c r="C163" s="3">
        <v>1098</v>
      </c>
      <c r="D163" s="3">
        <v>190</v>
      </c>
      <c r="E163" s="3">
        <v>340842</v>
      </c>
      <c r="F163" s="3">
        <v>9.39</v>
      </c>
      <c r="G163" s="8">
        <v>21539</v>
      </c>
      <c r="H163" s="5">
        <f t="shared" si="2"/>
        <v>0.26639909400836753</v>
      </c>
    </row>
    <row r="164" spans="1:8" x14ac:dyDescent="0.3">
      <c r="A164" s="3" t="s">
        <v>51</v>
      </c>
      <c r="B164" s="3" t="s">
        <v>10</v>
      </c>
      <c r="C164" s="3">
        <v>1399</v>
      </c>
      <c r="D164" s="3">
        <v>49</v>
      </c>
      <c r="E164" s="3">
        <v>12471</v>
      </c>
      <c r="F164" s="3">
        <v>5.12</v>
      </c>
      <c r="G164" s="8">
        <v>14722</v>
      </c>
      <c r="H164" s="5">
        <f t="shared" si="2"/>
        <v>10.825114265095021</v>
      </c>
    </row>
    <row r="165" spans="1:8" x14ac:dyDescent="0.3">
      <c r="A165" s="3" t="s">
        <v>51</v>
      </c>
      <c r="B165" s="3" t="s">
        <v>11</v>
      </c>
      <c r="C165" s="3">
        <v>1658</v>
      </c>
      <c r="D165" s="3">
        <v>416</v>
      </c>
      <c r="E165" s="3">
        <v>98397</v>
      </c>
      <c r="F165" s="3">
        <v>6.11</v>
      </c>
      <c r="G165" s="8">
        <v>11383</v>
      </c>
      <c r="H165" s="5">
        <f t="shared" si="2"/>
        <v>1.2622336046830696</v>
      </c>
    </row>
    <row r="166" spans="1:8" x14ac:dyDescent="0.3">
      <c r="A166" s="3" t="s">
        <v>52</v>
      </c>
      <c r="B166" s="3" t="s">
        <v>8</v>
      </c>
      <c r="C166" s="3">
        <v>1102</v>
      </c>
      <c r="D166" s="3">
        <v>422</v>
      </c>
      <c r="E166" s="3">
        <v>410330</v>
      </c>
      <c r="F166" s="3">
        <v>7.74</v>
      </c>
      <c r="G166" s="8">
        <v>9480</v>
      </c>
      <c r="H166" s="5">
        <f t="shared" si="2"/>
        <v>0.16572027392586453</v>
      </c>
    </row>
    <row r="167" spans="1:8" x14ac:dyDescent="0.3">
      <c r="A167" s="3" t="s">
        <v>52</v>
      </c>
      <c r="B167" s="3" t="s">
        <v>9</v>
      </c>
      <c r="C167" s="3">
        <v>1358</v>
      </c>
      <c r="D167" s="3">
        <v>242</v>
      </c>
      <c r="E167" s="3">
        <v>342129</v>
      </c>
      <c r="F167" s="3">
        <v>4.9400000000000004</v>
      </c>
      <c r="G167" s="8">
        <v>29116</v>
      </c>
      <c r="H167" s="5">
        <f t="shared" si="2"/>
        <v>0.32619275185675578</v>
      </c>
    </row>
    <row r="168" spans="1:8" x14ac:dyDescent="0.3">
      <c r="A168" s="3" t="s">
        <v>52</v>
      </c>
      <c r="B168" s="3" t="s">
        <v>10</v>
      </c>
      <c r="C168" s="3">
        <v>1077</v>
      </c>
      <c r="D168" s="3">
        <v>216</v>
      </c>
      <c r="E168" s="3">
        <v>12447</v>
      </c>
      <c r="F168" s="3">
        <v>1.8</v>
      </c>
      <c r="G168" s="8">
        <v>14068</v>
      </c>
      <c r="H168" s="5">
        <f t="shared" si="2"/>
        <v>6.9173294769824052</v>
      </c>
    </row>
    <row r="169" spans="1:8" x14ac:dyDescent="0.3">
      <c r="A169" s="3" t="s">
        <v>52</v>
      </c>
      <c r="B169" s="3" t="s">
        <v>11</v>
      </c>
      <c r="C169" s="3">
        <v>1596</v>
      </c>
      <c r="D169" s="3">
        <v>211</v>
      </c>
      <c r="E169" s="3">
        <v>17380</v>
      </c>
      <c r="F169" s="3">
        <v>8.64</v>
      </c>
      <c r="G169" s="8">
        <v>35801</v>
      </c>
      <c r="H169" s="5">
        <f t="shared" si="2"/>
        <v>7.9689298043728432</v>
      </c>
    </row>
    <row r="170" spans="1:8" x14ac:dyDescent="0.3">
      <c r="A170" s="3" t="s">
        <v>53</v>
      </c>
      <c r="B170" s="3" t="s">
        <v>8</v>
      </c>
      <c r="C170" s="3">
        <v>490</v>
      </c>
      <c r="D170" s="3">
        <v>29</v>
      </c>
      <c r="E170" s="3">
        <v>364810</v>
      </c>
      <c r="F170" s="3">
        <v>1.53</v>
      </c>
      <c r="G170" s="8">
        <v>49077</v>
      </c>
      <c r="H170" s="5">
        <f t="shared" si="2"/>
        <v>0.12636715002329982</v>
      </c>
    </row>
    <row r="171" spans="1:8" x14ac:dyDescent="0.3">
      <c r="A171" s="3" t="s">
        <v>53</v>
      </c>
      <c r="B171" s="3" t="s">
        <v>9</v>
      </c>
      <c r="C171" s="3">
        <v>609</v>
      </c>
      <c r="D171" s="3">
        <v>135</v>
      </c>
      <c r="E171" s="3">
        <v>373606</v>
      </c>
      <c r="F171" s="3">
        <v>8.52</v>
      </c>
      <c r="G171" s="8">
        <v>21453</v>
      </c>
      <c r="H171" s="5">
        <f t="shared" si="2"/>
        <v>0.1268716241173857</v>
      </c>
    </row>
    <row r="172" spans="1:8" x14ac:dyDescent="0.3">
      <c r="A172" s="3" t="s">
        <v>53</v>
      </c>
      <c r="B172" s="3" t="s">
        <v>10</v>
      </c>
      <c r="C172" s="3">
        <v>364</v>
      </c>
      <c r="D172" s="3">
        <v>72</v>
      </c>
      <c r="E172" s="3">
        <v>211090</v>
      </c>
      <c r="F172" s="3">
        <v>5.53</v>
      </c>
      <c r="G172" s="8">
        <v>21061</v>
      </c>
      <c r="H172" s="5">
        <f t="shared" si="2"/>
        <v>0.13832962243592781</v>
      </c>
    </row>
    <row r="173" spans="1:8" x14ac:dyDescent="0.3">
      <c r="A173" s="3" t="s">
        <v>53</v>
      </c>
      <c r="B173" s="3" t="s">
        <v>11</v>
      </c>
      <c r="C173" s="3">
        <v>442</v>
      </c>
      <c r="D173" s="3">
        <v>53</v>
      </c>
      <c r="E173" s="3">
        <v>441931</v>
      </c>
      <c r="F173" s="3">
        <v>1.87</v>
      </c>
      <c r="G173" s="8">
        <v>20059</v>
      </c>
      <c r="H173" s="5">
        <f t="shared" si="2"/>
        <v>8.8022790888170319E-2</v>
      </c>
    </row>
    <row r="174" spans="1:8" x14ac:dyDescent="0.3">
      <c r="A174" s="3" t="s">
        <v>54</v>
      </c>
      <c r="B174" s="3" t="s">
        <v>8</v>
      </c>
      <c r="C174" s="3">
        <v>1033</v>
      </c>
      <c r="D174" s="3">
        <v>392</v>
      </c>
      <c r="E174" s="3">
        <v>282780</v>
      </c>
      <c r="F174" s="3">
        <v>6.27</v>
      </c>
      <c r="G174" s="8">
        <v>23140</v>
      </c>
      <c r="H174" s="5">
        <f t="shared" si="2"/>
        <v>0.22667798288422092</v>
      </c>
    </row>
    <row r="175" spans="1:8" x14ac:dyDescent="0.3">
      <c r="A175" s="3" t="s">
        <v>54</v>
      </c>
      <c r="B175" s="3" t="s">
        <v>9</v>
      </c>
      <c r="C175" s="3">
        <v>988</v>
      </c>
      <c r="D175" s="3">
        <v>474</v>
      </c>
      <c r="E175" s="3">
        <v>370070</v>
      </c>
      <c r="F175" s="3">
        <v>9.4600000000000009</v>
      </c>
      <c r="G175" s="8">
        <v>23461</v>
      </c>
      <c r="H175" s="5">
        <f t="shared" si="2"/>
        <v>0.13889264193260734</v>
      </c>
    </row>
    <row r="176" spans="1:8" x14ac:dyDescent="0.3">
      <c r="A176" s="3" t="s">
        <v>54</v>
      </c>
      <c r="B176" s="3" t="s">
        <v>10</v>
      </c>
      <c r="C176" s="3">
        <v>1946</v>
      </c>
      <c r="D176" s="3">
        <v>270</v>
      </c>
      <c r="E176" s="3">
        <v>198350</v>
      </c>
      <c r="F176" s="3">
        <v>7.5</v>
      </c>
      <c r="G176" s="8">
        <v>11805</v>
      </c>
      <c r="H176" s="5">
        <f t="shared" si="2"/>
        <v>0.84497101083942527</v>
      </c>
    </row>
    <row r="177" spans="1:8" x14ac:dyDescent="0.3">
      <c r="A177" s="3" t="s">
        <v>54</v>
      </c>
      <c r="B177" s="3" t="s">
        <v>11</v>
      </c>
      <c r="C177" s="3">
        <v>1957</v>
      </c>
      <c r="D177" s="3">
        <v>490</v>
      </c>
      <c r="E177" s="3">
        <v>435726</v>
      </c>
      <c r="F177" s="3">
        <v>4.7300000000000004</v>
      </c>
      <c r="G177" s="8">
        <v>15969</v>
      </c>
      <c r="H177" s="5">
        <f t="shared" si="2"/>
        <v>0.33667947287974553</v>
      </c>
    </row>
    <row r="178" spans="1:8" x14ac:dyDescent="0.3">
      <c r="A178" s="3" t="s">
        <v>55</v>
      </c>
      <c r="B178" s="3" t="s">
        <v>8</v>
      </c>
      <c r="C178" s="3">
        <v>559</v>
      </c>
      <c r="D178" s="3">
        <v>392</v>
      </c>
      <c r="E178" s="3">
        <v>78789</v>
      </c>
      <c r="F178" s="3">
        <v>3.19</v>
      </c>
      <c r="G178" s="8">
        <v>2436</v>
      </c>
      <c r="H178" s="5">
        <f t="shared" si="2"/>
        <v>0.21195852212872357</v>
      </c>
    </row>
    <row r="179" spans="1:8" x14ac:dyDescent="0.3">
      <c r="A179" s="3" t="s">
        <v>55</v>
      </c>
      <c r="B179" s="3" t="s">
        <v>9</v>
      </c>
      <c r="C179" s="3">
        <v>1307</v>
      </c>
      <c r="D179" s="3">
        <v>278</v>
      </c>
      <c r="E179" s="3">
        <v>98596</v>
      </c>
      <c r="F179" s="3">
        <v>2.4900000000000002</v>
      </c>
      <c r="G179" s="8">
        <v>47603</v>
      </c>
      <c r="H179" s="5">
        <f t="shared" si="2"/>
        <v>1.0436528865268369</v>
      </c>
    </row>
    <row r="180" spans="1:8" x14ac:dyDescent="0.3">
      <c r="A180" s="3" t="s">
        <v>55</v>
      </c>
      <c r="B180" s="3" t="s">
        <v>10</v>
      </c>
      <c r="C180" s="3">
        <v>1432</v>
      </c>
      <c r="D180" s="3">
        <v>425</v>
      </c>
      <c r="E180" s="3">
        <v>29589</v>
      </c>
      <c r="F180" s="3">
        <v>4.5</v>
      </c>
      <c r="G180" s="8">
        <v>42964</v>
      </c>
      <c r="H180" s="5">
        <f t="shared" si="2"/>
        <v>3.4032917638311533</v>
      </c>
    </row>
    <row r="181" spans="1:8" x14ac:dyDescent="0.3">
      <c r="A181" s="3" t="s">
        <v>55</v>
      </c>
      <c r="B181" s="3" t="s">
        <v>11</v>
      </c>
      <c r="C181" s="3">
        <v>623</v>
      </c>
      <c r="D181" s="3">
        <v>414</v>
      </c>
      <c r="E181" s="3">
        <v>290354</v>
      </c>
      <c r="F181" s="3">
        <v>6.49</v>
      </c>
      <c r="G181" s="8">
        <v>39923</v>
      </c>
      <c r="H181" s="5">
        <f t="shared" si="2"/>
        <v>7.1981098934404214E-2</v>
      </c>
    </row>
    <row r="182" spans="1:8" x14ac:dyDescent="0.3">
      <c r="A182" s="3" t="s">
        <v>56</v>
      </c>
      <c r="B182" s="3" t="s">
        <v>8</v>
      </c>
      <c r="C182" s="3">
        <v>198</v>
      </c>
      <c r="D182" s="3">
        <v>358</v>
      </c>
      <c r="E182" s="3">
        <v>66682</v>
      </c>
      <c r="F182" s="3">
        <v>6.73</v>
      </c>
      <c r="G182" s="8">
        <v>2293</v>
      </c>
      <c r="H182" s="5">
        <f t="shared" si="2"/>
        <v>-0.2399448126930806</v>
      </c>
    </row>
    <row r="183" spans="1:8" x14ac:dyDescent="0.3">
      <c r="A183" s="3" t="s">
        <v>56</v>
      </c>
      <c r="B183" s="3" t="s">
        <v>9</v>
      </c>
      <c r="C183" s="3">
        <v>198</v>
      </c>
      <c r="D183" s="3">
        <v>373</v>
      </c>
      <c r="E183" s="3">
        <v>70707</v>
      </c>
      <c r="F183" s="3">
        <v>4.83</v>
      </c>
      <c r="G183" s="8">
        <v>25920</v>
      </c>
      <c r="H183" s="5">
        <f t="shared" si="2"/>
        <v>-0.24750024750024749</v>
      </c>
    </row>
    <row r="184" spans="1:8" x14ac:dyDescent="0.3">
      <c r="A184" s="3" t="s">
        <v>56</v>
      </c>
      <c r="B184" s="3" t="s">
        <v>10</v>
      </c>
      <c r="C184" s="3">
        <v>353</v>
      </c>
      <c r="D184" s="3">
        <v>300</v>
      </c>
      <c r="E184" s="3">
        <v>142507</v>
      </c>
      <c r="F184" s="3">
        <v>5.3</v>
      </c>
      <c r="G184" s="8">
        <v>11035</v>
      </c>
      <c r="H184" s="5">
        <f t="shared" si="2"/>
        <v>3.7191155522184875E-2</v>
      </c>
    </row>
    <row r="185" spans="1:8" x14ac:dyDescent="0.3">
      <c r="A185" s="3" t="s">
        <v>56</v>
      </c>
      <c r="B185" s="3" t="s">
        <v>11</v>
      </c>
      <c r="C185" s="3">
        <v>520</v>
      </c>
      <c r="D185" s="3">
        <v>375</v>
      </c>
      <c r="E185" s="3">
        <v>369525</v>
      </c>
      <c r="F185" s="3">
        <v>6.54</v>
      </c>
      <c r="G185" s="8">
        <v>20733</v>
      </c>
      <c r="H185" s="5">
        <f t="shared" si="2"/>
        <v>3.9239564305527365E-2</v>
      </c>
    </row>
    <row r="186" spans="1:8" x14ac:dyDescent="0.3">
      <c r="A186" s="3" t="s">
        <v>57</v>
      </c>
      <c r="B186" s="3" t="s">
        <v>8</v>
      </c>
      <c r="C186" s="3">
        <v>961</v>
      </c>
      <c r="D186" s="3">
        <v>358</v>
      </c>
      <c r="E186" s="3">
        <v>62942</v>
      </c>
      <c r="F186" s="3">
        <v>6.8</v>
      </c>
      <c r="G186" s="8">
        <v>18693</v>
      </c>
      <c r="H186" s="5">
        <f t="shared" si="2"/>
        <v>0.95802484827301337</v>
      </c>
    </row>
    <row r="187" spans="1:8" x14ac:dyDescent="0.3">
      <c r="A187" s="3" t="s">
        <v>57</v>
      </c>
      <c r="B187" s="3" t="s">
        <v>9</v>
      </c>
      <c r="C187" s="3">
        <v>1375</v>
      </c>
      <c r="D187" s="3">
        <v>330</v>
      </c>
      <c r="E187" s="3">
        <v>377382</v>
      </c>
      <c r="F187" s="3">
        <v>2.6</v>
      </c>
      <c r="G187" s="8">
        <v>7875</v>
      </c>
      <c r="H187" s="5">
        <f t="shared" si="2"/>
        <v>0.27690774864725926</v>
      </c>
    </row>
    <row r="188" spans="1:8" x14ac:dyDescent="0.3">
      <c r="A188" s="3" t="s">
        <v>57</v>
      </c>
      <c r="B188" s="3" t="s">
        <v>10</v>
      </c>
      <c r="C188" s="3">
        <v>1147</v>
      </c>
      <c r="D188" s="3">
        <v>388</v>
      </c>
      <c r="E188" s="3">
        <v>333851</v>
      </c>
      <c r="F188" s="3">
        <v>2.44</v>
      </c>
      <c r="G188" s="8">
        <v>8471</v>
      </c>
      <c r="H188" s="5">
        <f t="shared" si="2"/>
        <v>0.22734693021737243</v>
      </c>
    </row>
    <row r="189" spans="1:8" x14ac:dyDescent="0.3">
      <c r="A189" s="3" t="s">
        <v>57</v>
      </c>
      <c r="B189" s="3" t="s">
        <v>11</v>
      </c>
      <c r="C189" s="3">
        <v>1707</v>
      </c>
      <c r="D189" s="3">
        <v>74</v>
      </c>
      <c r="E189" s="3">
        <v>270958</v>
      </c>
      <c r="F189" s="3">
        <v>3.09</v>
      </c>
      <c r="G189" s="8">
        <v>14090</v>
      </c>
      <c r="H189" s="5">
        <f t="shared" si="2"/>
        <v>0.60267642955734835</v>
      </c>
    </row>
    <row r="190" spans="1:8" x14ac:dyDescent="0.3">
      <c r="A190" s="3" t="s">
        <v>58</v>
      </c>
      <c r="B190" s="3" t="s">
        <v>8</v>
      </c>
      <c r="C190" s="3">
        <v>1693</v>
      </c>
      <c r="D190" s="3">
        <v>154</v>
      </c>
      <c r="E190" s="3">
        <v>445944</v>
      </c>
      <c r="F190" s="3">
        <v>5.69</v>
      </c>
      <c r="G190" s="8">
        <v>14216</v>
      </c>
      <c r="H190" s="5">
        <f t="shared" si="2"/>
        <v>0.34511059684624079</v>
      </c>
    </row>
    <row r="191" spans="1:8" x14ac:dyDescent="0.3">
      <c r="A191" s="3" t="s">
        <v>58</v>
      </c>
      <c r="B191" s="3" t="s">
        <v>9</v>
      </c>
      <c r="C191" s="3">
        <v>833</v>
      </c>
      <c r="D191" s="3">
        <v>380</v>
      </c>
      <c r="E191" s="3">
        <v>224830</v>
      </c>
      <c r="F191" s="3">
        <v>3.86</v>
      </c>
      <c r="G191" s="8">
        <v>3582</v>
      </c>
      <c r="H191" s="5">
        <f t="shared" si="2"/>
        <v>0.2014855668727483</v>
      </c>
    </row>
    <row r="192" spans="1:8" x14ac:dyDescent="0.3">
      <c r="A192" s="3" t="s">
        <v>58</v>
      </c>
      <c r="B192" s="3" t="s">
        <v>10</v>
      </c>
      <c r="C192" s="3">
        <v>1222</v>
      </c>
      <c r="D192" s="3">
        <v>274</v>
      </c>
      <c r="E192" s="3">
        <v>487289</v>
      </c>
      <c r="F192" s="3">
        <v>3.16</v>
      </c>
      <c r="G192" s="8">
        <v>32500</v>
      </c>
      <c r="H192" s="5">
        <f t="shared" si="2"/>
        <v>0.19454574184929271</v>
      </c>
    </row>
    <row r="193" spans="1:8" x14ac:dyDescent="0.3">
      <c r="A193" s="3" t="s">
        <v>58</v>
      </c>
      <c r="B193" s="3" t="s">
        <v>11</v>
      </c>
      <c r="C193" s="3">
        <v>777</v>
      </c>
      <c r="D193" s="3">
        <v>140</v>
      </c>
      <c r="E193" s="3">
        <v>11435</v>
      </c>
      <c r="F193" s="3">
        <v>1.6</v>
      </c>
      <c r="G193" s="8">
        <v>6832</v>
      </c>
      <c r="H193" s="5">
        <f t="shared" si="2"/>
        <v>5.5706165282028861</v>
      </c>
    </row>
    <row r="194" spans="1:8" x14ac:dyDescent="0.3">
      <c r="A194" s="3" t="s">
        <v>59</v>
      </c>
      <c r="B194" s="3" t="s">
        <v>8</v>
      </c>
      <c r="C194" s="3">
        <v>1957</v>
      </c>
      <c r="D194" s="3">
        <v>76</v>
      </c>
      <c r="E194" s="3">
        <v>447902</v>
      </c>
      <c r="F194" s="3">
        <v>6.09</v>
      </c>
      <c r="G194" s="8">
        <v>33381</v>
      </c>
      <c r="H194" s="5">
        <f t="shared" si="2"/>
        <v>0.41995793722733987</v>
      </c>
    </row>
    <row r="195" spans="1:8" x14ac:dyDescent="0.3">
      <c r="A195" s="3" t="s">
        <v>59</v>
      </c>
      <c r="B195" s="3" t="s">
        <v>9</v>
      </c>
      <c r="C195" s="3">
        <v>405</v>
      </c>
      <c r="D195" s="3">
        <v>66</v>
      </c>
      <c r="E195" s="3">
        <v>418696</v>
      </c>
      <c r="F195" s="3">
        <v>5.59</v>
      </c>
      <c r="G195" s="8">
        <v>48419</v>
      </c>
      <c r="H195" s="5">
        <f t="shared" ref="H195:H201" si="3">(C195-D195)/E195*100</f>
        <v>8.0965664826031306E-2</v>
      </c>
    </row>
    <row r="196" spans="1:8" x14ac:dyDescent="0.3">
      <c r="A196" s="3" t="s">
        <v>59</v>
      </c>
      <c r="B196" s="3" t="s">
        <v>10</v>
      </c>
      <c r="C196" s="3">
        <v>1581</v>
      </c>
      <c r="D196" s="3">
        <v>71</v>
      </c>
      <c r="E196" s="3">
        <v>484364</v>
      </c>
      <c r="F196" s="3">
        <v>3.55</v>
      </c>
      <c r="G196" s="8">
        <v>16149</v>
      </c>
      <c r="H196" s="5">
        <f t="shared" si="3"/>
        <v>0.311749015203442</v>
      </c>
    </row>
    <row r="197" spans="1:8" x14ac:dyDescent="0.3">
      <c r="A197" s="3" t="s">
        <v>59</v>
      </c>
      <c r="B197" s="3" t="s">
        <v>11</v>
      </c>
      <c r="C197" s="3">
        <v>1035</v>
      </c>
      <c r="D197" s="3">
        <v>171</v>
      </c>
      <c r="E197" s="3">
        <v>148477</v>
      </c>
      <c r="F197" s="3">
        <v>5.21</v>
      </c>
      <c r="G197" s="8">
        <v>7541</v>
      </c>
      <c r="H197" s="5">
        <f t="shared" si="3"/>
        <v>0.58190830903102841</v>
      </c>
    </row>
    <row r="198" spans="1:8" x14ac:dyDescent="0.3">
      <c r="A198" s="3" t="s">
        <v>60</v>
      </c>
      <c r="B198" s="3" t="s">
        <v>8</v>
      </c>
      <c r="C198" s="3">
        <v>1765</v>
      </c>
      <c r="D198" s="3">
        <v>109</v>
      </c>
      <c r="E198" s="3">
        <v>468301</v>
      </c>
      <c r="F198" s="3">
        <v>1.82</v>
      </c>
      <c r="G198" s="8">
        <v>20042</v>
      </c>
      <c r="H198" s="5">
        <f t="shared" si="3"/>
        <v>0.35361871958419905</v>
      </c>
    </row>
    <row r="199" spans="1:8" x14ac:dyDescent="0.3">
      <c r="A199" s="3" t="s">
        <v>60</v>
      </c>
      <c r="B199" s="3" t="s">
        <v>9</v>
      </c>
      <c r="C199" s="3">
        <v>837</v>
      </c>
      <c r="D199" s="3">
        <v>430</v>
      </c>
      <c r="E199" s="3">
        <v>364820</v>
      </c>
      <c r="F199" s="3">
        <v>4</v>
      </c>
      <c r="G199" s="8">
        <v>49400</v>
      </c>
      <c r="H199" s="5">
        <f t="shared" si="3"/>
        <v>0.11156186612576065</v>
      </c>
    </row>
    <row r="200" spans="1:8" x14ac:dyDescent="0.3">
      <c r="A200" s="3" t="s">
        <v>60</v>
      </c>
      <c r="B200" s="3" t="s">
        <v>10</v>
      </c>
      <c r="C200" s="3">
        <v>337</v>
      </c>
      <c r="D200" s="3">
        <v>68</v>
      </c>
      <c r="E200" s="3">
        <v>456298</v>
      </c>
      <c r="F200" s="3">
        <v>7.57</v>
      </c>
      <c r="G200" s="8">
        <v>4007</v>
      </c>
      <c r="H200" s="5">
        <f t="shared" si="3"/>
        <v>5.8952701962314107E-2</v>
      </c>
    </row>
    <row r="201" spans="1:8" x14ac:dyDescent="0.3">
      <c r="A201" s="3" t="s">
        <v>60</v>
      </c>
      <c r="B201" s="3" t="s">
        <v>11</v>
      </c>
      <c r="C201" s="3">
        <v>119</v>
      </c>
      <c r="D201" s="3">
        <v>456</v>
      </c>
      <c r="E201" s="3">
        <v>82558</v>
      </c>
      <c r="F201" s="3">
        <v>6.81</v>
      </c>
      <c r="G201" s="8">
        <v>12174</v>
      </c>
      <c r="H201" s="5">
        <f t="shared" si="3"/>
        <v>-0.4081978730104896</v>
      </c>
    </row>
  </sheetData>
  <autoFilter ref="A1:G201" xr:uid="{F4713F57-CAD3-45E5-96C6-BAAF3B618F09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DDF6-5FBF-4C96-A47B-39D2DEC002F1}">
  <dimension ref="A1:I402"/>
  <sheetViews>
    <sheetView tabSelected="1" zoomScaleNormal="100" workbookViewId="0">
      <selection activeCell="K11" sqref="K11"/>
    </sheetView>
  </sheetViews>
  <sheetFormatPr defaultRowHeight="14.4" x14ac:dyDescent="0.3"/>
  <cols>
    <col min="1" max="2" width="13.21875" bestFit="1" customWidth="1"/>
    <col min="6" max="6" width="10.6640625" customWidth="1"/>
    <col min="7" max="7" width="22.44140625" customWidth="1"/>
    <col min="8" max="8" width="22.6640625" customWidth="1"/>
    <col min="9" max="9" width="16.77734375" customWidth="1"/>
  </cols>
  <sheetData>
    <row r="1" spans="1:9" ht="28.8" x14ac:dyDescent="0.3">
      <c r="A1" s="1" t="s">
        <v>1</v>
      </c>
      <c r="B1" s="2" t="s">
        <v>5</v>
      </c>
      <c r="C1" s="2" t="s">
        <v>6</v>
      </c>
    </row>
    <row r="2" spans="1:9" x14ac:dyDescent="0.3">
      <c r="A2" s="3" t="s">
        <v>8</v>
      </c>
      <c r="B2" s="3">
        <v>8.06</v>
      </c>
      <c r="C2" s="3">
        <v>5904</v>
      </c>
    </row>
    <row r="3" spans="1:9" x14ac:dyDescent="0.3">
      <c r="A3" s="3" t="s">
        <v>9</v>
      </c>
      <c r="B3" s="3">
        <v>4.9800000000000004</v>
      </c>
      <c r="C3" s="3">
        <v>9566</v>
      </c>
      <c r="F3" t="s">
        <v>61</v>
      </c>
      <c r="G3" t="s">
        <v>66</v>
      </c>
      <c r="H3" t="s">
        <v>68</v>
      </c>
      <c r="I3" s="6" t="s">
        <v>67</v>
      </c>
    </row>
    <row r="4" spans="1:9" x14ac:dyDescent="0.3">
      <c r="A4" s="3" t="s">
        <v>10</v>
      </c>
      <c r="B4" s="3">
        <v>8.31</v>
      </c>
      <c r="C4" s="3">
        <v>26752</v>
      </c>
      <c r="F4" s="3" t="s">
        <v>8</v>
      </c>
      <c r="G4" s="5">
        <f>AVERAGEIF(A:A,F4,B:B)</f>
        <v>5.7156000000000002</v>
      </c>
      <c r="H4">
        <f>I4/$I$8*100</f>
        <v>24.092556129674094</v>
      </c>
      <c r="I4" s="6">
        <f>SUMIF(A:A,F4,C:C)</f>
        <v>1164373</v>
      </c>
    </row>
    <row r="5" spans="1:9" x14ac:dyDescent="0.3">
      <c r="A5" s="3" t="s">
        <v>11</v>
      </c>
      <c r="B5" s="3">
        <v>4.1100000000000003</v>
      </c>
      <c r="C5" s="3">
        <v>30671</v>
      </c>
      <c r="E5" s="3"/>
      <c r="F5" s="3" t="s">
        <v>9</v>
      </c>
      <c r="G5" s="5">
        <f t="shared" ref="G5:G7" si="0">AVERAGEIF(A:A,F5,B:B)</f>
        <v>5.6486000000000001</v>
      </c>
      <c r="H5">
        <f>I5/$I$8*100</f>
        <v>28.544650889856143</v>
      </c>
      <c r="I5" s="6">
        <f>SUMIF(A:A,F5,C:C)</f>
        <v>1379539</v>
      </c>
    </row>
    <row r="6" spans="1:9" x14ac:dyDescent="0.3">
      <c r="A6" s="3" t="s">
        <v>8</v>
      </c>
      <c r="B6" s="3">
        <v>9.0500000000000007</v>
      </c>
      <c r="C6" s="3">
        <v>9920</v>
      </c>
      <c r="F6" s="3" t="s">
        <v>10</v>
      </c>
      <c r="G6" s="5">
        <f t="shared" si="0"/>
        <v>5.6558000000000002</v>
      </c>
      <c r="H6">
        <f>I6/$I$8*100</f>
        <v>21.940315122381602</v>
      </c>
      <c r="I6" s="6">
        <f>SUMIF(A:A,F6,C:C)</f>
        <v>1060357</v>
      </c>
    </row>
    <row r="7" spans="1:9" x14ac:dyDescent="0.3">
      <c r="A7" s="3" t="s">
        <v>9</v>
      </c>
      <c r="B7" s="3">
        <v>2.37</v>
      </c>
      <c r="C7" s="3">
        <v>7924</v>
      </c>
      <c r="F7" s="3" t="s">
        <v>11</v>
      </c>
      <c r="G7" s="5">
        <f t="shared" si="0"/>
        <v>5.5587999999999997</v>
      </c>
      <c r="H7">
        <f>I7/$I$8*100</f>
        <v>25.422477858088161</v>
      </c>
      <c r="I7" s="6">
        <f>SUMIF(A:A,F7,C:C)</f>
        <v>1228647</v>
      </c>
    </row>
    <row r="8" spans="1:9" x14ac:dyDescent="0.3">
      <c r="A8" s="3" t="s">
        <v>10</v>
      </c>
      <c r="B8" s="3">
        <v>4.01</v>
      </c>
      <c r="C8" s="3">
        <v>8912</v>
      </c>
      <c r="I8" s="6">
        <f>SUM(I4:I7)</f>
        <v>4832916</v>
      </c>
    </row>
    <row r="9" spans="1:9" x14ac:dyDescent="0.3">
      <c r="A9" s="3" t="s">
        <v>11</v>
      </c>
      <c r="B9" s="3">
        <v>3.16</v>
      </c>
      <c r="C9" s="3">
        <v>21205</v>
      </c>
    </row>
    <row r="10" spans="1:9" x14ac:dyDescent="0.3">
      <c r="A10" s="3" t="s">
        <v>8</v>
      </c>
      <c r="B10" s="3">
        <v>2.46</v>
      </c>
      <c r="C10" s="3">
        <v>11329</v>
      </c>
    </row>
    <row r="11" spans="1:9" x14ac:dyDescent="0.3">
      <c r="A11" s="3" t="s">
        <v>9</v>
      </c>
      <c r="B11" s="3">
        <v>8.11</v>
      </c>
      <c r="C11" s="3">
        <v>46670</v>
      </c>
    </row>
    <row r="12" spans="1:9" x14ac:dyDescent="0.3">
      <c r="A12" s="3" t="s">
        <v>10</v>
      </c>
      <c r="B12" s="3">
        <v>8.19</v>
      </c>
      <c r="C12" s="3">
        <v>22482</v>
      </c>
    </row>
    <row r="13" spans="1:9" x14ac:dyDescent="0.3">
      <c r="A13" s="3" t="s">
        <v>11</v>
      </c>
      <c r="B13" s="3">
        <v>3.49</v>
      </c>
      <c r="C13" s="3">
        <v>24313</v>
      </c>
    </row>
    <row r="14" spans="1:9" x14ac:dyDescent="0.3">
      <c r="A14" s="3" t="s">
        <v>8</v>
      </c>
      <c r="B14" s="3">
        <v>6.92</v>
      </c>
      <c r="C14" s="3">
        <v>18050</v>
      </c>
    </row>
    <row r="15" spans="1:9" x14ac:dyDescent="0.3">
      <c r="A15" s="3" t="s">
        <v>9</v>
      </c>
      <c r="B15" s="3">
        <v>9.1199999999999992</v>
      </c>
      <c r="C15" s="3">
        <v>30635</v>
      </c>
    </row>
    <row r="16" spans="1:9" x14ac:dyDescent="0.3">
      <c r="A16" s="3" t="s">
        <v>10</v>
      </c>
      <c r="B16" s="3">
        <v>3.5</v>
      </c>
      <c r="C16" s="3">
        <v>31280</v>
      </c>
    </row>
    <row r="17" spans="1:3" x14ac:dyDescent="0.3">
      <c r="A17" s="3" t="s">
        <v>11</v>
      </c>
      <c r="B17" s="3">
        <v>2.62</v>
      </c>
      <c r="C17" s="3">
        <v>1783</v>
      </c>
    </row>
    <row r="18" spans="1:3" x14ac:dyDescent="0.3">
      <c r="A18" s="3" t="s">
        <v>8</v>
      </c>
      <c r="B18" s="3">
        <v>9.36</v>
      </c>
      <c r="C18" s="3">
        <v>9566</v>
      </c>
    </row>
    <row r="19" spans="1:3" x14ac:dyDescent="0.3">
      <c r="A19" s="3" t="s">
        <v>9</v>
      </c>
      <c r="B19" s="3">
        <v>4.4800000000000004</v>
      </c>
      <c r="C19" s="3">
        <v>42307</v>
      </c>
    </row>
    <row r="20" spans="1:3" x14ac:dyDescent="0.3">
      <c r="A20" s="3" t="s">
        <v>10</v>
      </c>
      <c r="B20" s="3">
        <v>6.19</v>
      </c>
      <c r="C20" s="3">
        <v>5914</v>
      </c>
    </row>
    <row r="21" spans="1:3" x14ac:dyDescent="0.3">
      <c r="A21" s="3" t="s">
        <v>11</v>
      </c>
      <c r="B21" s="3">
        <v>8.7200000000000006</v>
      </c>
      <c r="C21" s="3">
        <v>30060</v>
      </c>
    </row>
    <row r="22" spans="1:3" x14ac:dyDescent="0.3">
      <c r="A22" s="3" t="s">
        <v>8</v>
      </c>
      <c r="B22" s="3">
        <v>8.74</v>
      </c>
      <c r="C22" s="3">
        <v>22728</v>
      </c>
    </row>
    <row r="23" spans="1:3" x14ac:dyDescent="0.3">
      <c r="A23" s="3" t="s">
        <v>9</v>
      </c>
      <c r="B23" s="3">
        <v>1.91</v>
      </c>
      <c r="C23" s="3">
        <v>38610</v>
      </c>
    </row>
    <row r="24" spans="1:3" x14ac:dyDescent="0.3">
      <c r="A24" s="3" t="s">
        <v>10</v>
      </c>
      <c r="B24" s="3">
        <v>4.66</v>
      </c>
      <c r="C24" s="3">
        <v>2932</v>
      </c>
    </row>
    <row r="25" spans="1:3" x14ac:dyDescent="0.3">
      <c r="A25" s="3" t="s">
        <v>11</v>
      </c>
      <c r="B25" s="3">
        <v>2.88</v>
      </c>
      <c r="C25" s="3">
        <v>15071</v>
      </c>
    </row>
    <row r="26" spans="1:3" x14ac:dyDescent="0.3">
      <c r="A26" s="3" t="s">
        <v>8</v>
      </c>
      <c r="B26" s="3">
        <v>3.74</v>
      </c>
      <c r="C26" s="3">
        <v>10740</v>
      </c>
    </row>
    <row r="27" spans="1:3" x14ac:dyDescent="0.3">
      <c r="A27" s="3" t="s">
        <v>9</v>
      </c>
      <c r="B27" s="3">
        <v>6.44</v>
      </c>
      <c r="C27" s="3">
        <v>43420</v>
      </c>
    </row>
    <row r="28" spans="1:3" x14ac:dyDescent="0.3">
      <c r="A28" s="3" t="s">
        <v>10</v>
      </c>
      <c r="B28" s="3">
        <v>8.56</v>
      </c>
      <c r="C28" s="3">
        <v>32393</v>
      </c>
    </row>
    <row r="29" spans="1:3" x14ac:dyDescent="0.3">
      <c r="A29" s="3" t="s">
        <v>11</v>
      </c>
      <c r="B29" s="3">
        <v>4.5599999999999996</v>
      </c>
      <c r="C29" s="3">
        <v>28474</v>
      </c>
    </row>
    <row r="30" spans="1:3" x14ac:dyDescent="0.3">
      <c r="A30" s="3" t="s">
        <v>8</v>
      </c>
      <c r="B30" s="3">
        <v>7.88</v>
      </c>
      <c r="C30" s="3">
        <v>17328</v>
      </c>
    </row>
    <row r="31" spans="1:3" x14ac:dyDescent="0.3">
      <c r="A31" s="3" t="s">
        <v>9</v>
      </c>
      <c r="B31" s="3">
        <v>7.86</v>
      </c>
      <c r="C31" s="3">
        <v>26067</v>
      </c>
    </row>
    <row r="32" spans="1:3" x14ac:dyDescent="0.3">
      <c r="A32" s="3" t="s">
        <v>10</v>
      </c>
      <c r="B32" s="3">
        <v>5.34</v>
      </c>
      <c r="C32" s="3">
        <v>32763</v>
      </c>
    </row>
    <row r="33" spans="1:3" x14ac:dyDescent="0.3">
      <c r="A33" s="3" t="s">
        <v>11</v>
      </c>
      <c r="B33" s="3">
        <v>5.52</v>
      </c>
      <c r="C33" s="3">
        <v>26452</v>
      </c>
    </row>
    <row r="34" spans="1:3" x14ac:dyDescent="0.3">
      <c r="A34" s="3" t="s">
        <v>8</v>
      </c>
      <c r="B34" s="3">
        <v>4.05</v>
      </c>
      <c r="C34" s="3">
        <v>15353</v>
      </c>
    </row>
    <row r="35" spans="1:3" x14ac:dyDescent="0.3">
      <c r="A35" s="3" t="s">
        <v>9</v>
      </c>
      <c r="B35" s="3">
        <v>7.73</v>
      </c>
      <c r="C35" s="3">
        <v>4839</v>
      </c>
    </row>
    <row r="36" spans="1:3" x14ac:dyDescent="0.3">
      <c r="A36" s="3" t="s">
        <v>10</v>
      </c>
      <c r="B36" s="3">
        <v>4.3600000000000003</v>
      </c>
      <c r="C36" s="3">
        <v>39272</v>
      </c>
    </row>
    <row r="37" spans="1:3" x14ac:dyDescent="0.3">
      <c r="A37" s="3" t="s">
        <v>11</v>
      </c>
      <c r="B37" s="3">
        <v>3.48</v>
      </c>
      <c r="C37" s="3">
        <v>16804</v>
      </c>
    </row>
    <row r="38" spans="1:3" x14ac:dyDescent="0.3">
      <c r="A38" s="3" t="s">
        <v>8</v>
      </c>
      <c r="B38" s="3">
        <v>7.83</v>
      </c>
      <c r="C38" s="3">
        <v>49303</v>
      </c>
    </row>
    <row r="39" spans="1:3" x14ac:dyDescent="0.3">
      <c r="A39" s="3" t="s">
        <v>9</v>
      </c>
      <c r="B39" s="3">
        <v>6.11</v>
      </c>
      <c r="C39" s="3">
        <v>26455</v>
      </c>
    </row>
    <row r="40" spans="1:3" x14ac:dyDescent="0.3">
      <c r="A40" s="3" t="s">
        <v>10</v>
      </c>
      <c r="B40" s="3">
        <v>9.43</v>
      </c>
      <c r="C40" s="3">
        <v>12384</v>
      </c>
    </row>
    <row r="41" spans="1:3" x14ac:dyDescent="0.3">
      <c r="A41" s="3" t="s">
        <v>11</v>
      </c>
      <c r="B41" s="3">
        <v>4.04</v>
      </c>
      <c r="C41" s="3">
        <v>49372</v>
      </c>
    </row>
    <row r="42" spans="1:3" x14ac:dyDescent="0.3">
      <c r="A42" s="3" t="s">
        <v>8</v>
      </c>
      <c r="B42" s="3">
        <v>6.23</v>
      </c>
      <c r="C42" s="3">
        <v>47101</v>
      </c>
    </row>
    <row r="43" spans="1:3" x14ac:dyDescent="0.3">
      <c r="A43" s="3" t="s">
        <v>9</v>
      </c>
      <c r="B43" s="3">
        <v>6.01</v>
      </c>
      <c r="C43" s="3">
        <v>37903</v>
      </c>
    </row>
    <row r="44" spans="1:3" x14ac:dyDescent="0.3">
      <c r="A44" s="3" t="s">
        <v>10</v>
      </c>
      <c r="B44" s="3">
        <v>8.5500000000000007</v>
      </c>
      <c r="C44" s="3">
        <v>33258</v>
      </c>
    </row>
    <row r="45" spans="1:3" x14ac:dyDescent="0.3">
      <c r="A45" s="3" t="s">
        <v>11</v>
      </c>
      <c r="B45" s="3">
        <v>5.42</v>
      </c>
      <c r="C45" s="3">
        <v>6915</v>
      </c>
    </row>
    <row r="46" spans="1:3" x14ac:dyDescent="0.3">
      <c r="A46" s="3" t="s">
        <v>8</v>
      </c>
      <c r="B46" s="3">
        <v>3.25</v>
      </c>
      <c r="C46" s="3">
        <v>35501</v>
      </c>
    </row>
    <row r="47" spans="1:3" x14ac:dyDescent="0.3">
      <c r="A47" s="3" t="s">
        <v>9</v>
      </c>
      <c r="B47" s="3">
        <v>8.84</v>
      </c>
      <c r="C47" s="3">
        <v>14203</v>
      </c>
    </row>
    <row r="48" spans="1:3" x14ac:dyDescent="0.3">
      <c r="A48" s="3" t="s">
        <v>10</v>
      </c>
      <c r="B48" s="3">
        <v>7.24</v>
      </c>
      <c r="C48" s="3">
        <v>22206</v>
      </c>
    </row>
    <row r="49" spans="1:3" x14ac:dyDescent="0.3">
      <c r="A49" s="3" t="s">
        <v>11</v>
      </c>
      <c r="B49" s="3">
        <v>6.19</v>
      </c>
      <c r="C49" s="3">
        <v>10283</v>
      </c>
    </row>
    <row r="50" spans="1:3" x14ac:dyDescent="0.3">
      <c r="A50" s="3" t="s">
        <v>8</v>
      </c>
      <c r="B50" s="3">
        <v>5.71</v>
      </c>
      <c r="C50" s="3">
        <v>24913</v>
      </c>
    </row>
    <row r="51" spans="1:3" x14ac:dyDescent="0.3">
      <c r="A51" s="3" t="s">
        <v>9</v>
      </c>
      <c r="B51" s="3">
        <v>9.0399999999999991</v>
      </c>
      <c r="C51" s="3">
        <v>26925</v>
      </c>
    </row>
    <row r="52" spans="1:3" x14ac:dyDescent="0.3">
      <c r="A52" s="3" t="s">
        <v>10</v>
      </c>
      <c r="B52" s="3">
        <v>3.91</v>
      </c>
      <c r="C52" s="3">
        <v>9942</v>
      </c>
    </row>
    <row r="53" spans="1:3" x14ac:dyDescent="0.3">
      <c r="A53" s="3" t="s">
        <v>11</v>
      </c>
      <c r="B53" s="3">
        <v>7.83</v>
      </c>
      <c r="C53" s="3">
        <v>32929</v>
      </c>
    </row>
    <row r="54" spans="1:3" x14ac:dyDescent="0.3">
      <c r="A54" s="3" t="s">
        <v>8</v>
      </c>
      <c r="B54" s="3">
        <v>7.16</v>
      </c>
      <c r="C54" s="3">
        <v>37829</v>
      </c>
    </row>
    <row r="55" spans="1:3" x14ac:dyDescent="0.3">
      <c r="A55" s="3" t="s">
        <v>9</v>
      </c>
      <c r="B55" s="3">
        <v>6.41</v>
      </c>
      <c r="C55" s="3">
        <v>24384</v>
      </c>
    </row>
    <row r="56" spans="1:3" x14ac:dyDescent="0.3">
      <c r="A56" s="3" t="s">
        <v>10</v>
      </c>
      <c r="B56" s="3">
        <v>8.02</v>
      </c>
      <c r="C56" s="3">
        <v>25797</v>
      </c>
    </row>
    <row r="57" spans="1:3" x14ac:dyDescent="0.3">
      <c r="A57" s="3" t="s">
        <v>11</v>
      </c>
      <c r="B57" s="3">
        <v>3.86</v>
      </c>
      <c r="C57" s="3">
        <v>12646</v>
      </c>
    </row>
    <row r="58" spans="1:3" x14ac:dyDescent="0.3">
      <c r="A58" s="3" t="s">
        <v>8</v>
      </c>
      <c r="B58" s="3">
        <v>9.09</v>
      </c>
      <c r="C58" s="3">
        <v>26663</v>
      </c>
    </row>
    <row r="59" spans="1:3" x14ac:dyDescent="0.3">
      <c r="A59" s="3" t="s">
        <v>9</v>
      </c>
      <c r="B59" s="3">
        <v>1.76</v>
      </c>
      <c r="C59" s="3">
        <v>40478</v>
      </c>
    </row>
    <row r="60" spans="1:3" x14ac:dyDescent="0.3">
      <c r="A60" s="3" t="s">
        <v>10</v>
      </c>
      <c r="B60" s="3">
        <v>9.24</v>
      </c>
      <c r="C60" s="3">
        <v>15476</v>
      </c>
    </row>
    <row r="61" spans="1:3" x14ac:dyDescent="0.3">
      <c r="A61" s="3" t="s">
        <v>11</v>
      </c>
      <c r="B61" s="3">
        <v>8.99</v>
      </c>
      <c r="C61" s="3">
        <v>10217</v>
      </c>
    </row>
    <row r="62" spans="1:3" x14ac:dyDescent="0.3">
      <c r="A62" s="3" t="s">
        <v>8</v>
      </c>
      <c r="B62" s="3">
        <v>3.4</v>
      </c>
      <c r="C62" s="3">
        <v>21939</v>
      </c>
    </row>
    <row r="63" spans="1:3" x14ac:dyDescent="0.3">
      <c r="A63" s="3" t="s">
        <v>9</v>
      </c>
      <c r="B63" s="3">
        <v>9.1999999999999993</v>
      </c>
      <c r="C63" s="3">
        <v>47462</v>
      </c>
    </row>
    <row r="64" spans="1:3" x14ac:dyDescent="0.3">
      <c r="A64" s="3" t="s">
        <v>10</v>
      </c>
      <c r="B64" s="3">
        <v>8.59</v>
      </c>
      <c r="C64" s="3">
        <v>30270</v>
      </c>
    </row>
    <row r="65" spans="1:3" x14ac:dyDescent="0.3">
      <c r="A65" s="3" t="s">
        <v>11</v>
      </c>
      <c r="B65" s="3">
        <v>3.5</v>
      </c>
      <c r="C65" s="3">
        <v>5442</v>
      </c>
    </row>
    <row r="66" spans="1:3" x14ac:dyDescent="0.3">
      <c r="A66" s="3" t="s">
        <v>8</v>
      </c>
      <c r="B66" s="3">
        <v>2.36</v>
      </c>
      <c r="C66" s="3">
        <v>1083</v>
      </c>
    </row>
    <row r="67" spans="1:3" x14ac:dyDescent="0.3">
      <c r="A67" s="3" t="s">
        <v>9</v>
      </c>
      <c r="B67" s="3">
        <v>7.36</v>
      </c>
      <c r="C67" s="3">
        <v>11901</v>
      </c>
    </row>
    <row r="68" spans="1:3" x14ac:dyDescent="0.3">
      <c r="A68" s="3" t="s">
        <v>10</v>
      </c>
      <c r="B68" s="3">
        <v>8.5500000000000007</v>
      </c>
      <c r="C68" s="3">
        <v>24018</v>
      </c>
    </row>
    <row r="69" spans="1:3" x14ac:dyDescent="0.3">
      <c r="A69" s="3" t="s">
        <v>11</v>
      </c>
      <c r="B69" s="3">
        <v>8.1300000000000008</v>
      </c>
      <c r="C69" s="3">
        <v>38883</v>
      </c>
    </row>
    <row r="70" spans="1:3" x14ac:dyDescent="0.3">
      <c r="A70" s="3" t="s">
        <v>8</v>
      </c>
      <c r="B70" s="3">
        <v>3.3</v>
      </c>
      <c r="C70" s="3">
        <v>30575</v>
      </c>
    </row>
    <row r="71" spans="1:3" x14ac:dyDescent="0.3">
      <c r="A71" s="3" t="s">
        <v>9</v>
      </c>
      <c r="B71" s="3">
        <v>1.77</v>
      </c>
      <c r="C71" s="3">
        <v>2315</v>
      </c>
    </row>
    <row r="72" spans="1:3" x14ac:dyDescent="0.3">
      <c r="A72" s="3" t="s">
        <v>10</v>
      </c>
      <c r="B72" s="3">
        <v>2.09</v>
      </c>
      <c r="C72" s="3">
        <v>12148</v>
      </c>
    </row>
    <row r="73" spans="1:3" x14ac:dyDescent="0.3">
      <c r="A73" s="3" t="s">
        <v>11</v>
      </c>
      <c r="B73" s="3">
        <v>7.36</v>
      </c>
      <c r="C73" s="3">
        <v>36851</v>
      </c>
    </row>
    <row r="74" spans="1:3" x14ac:dyDescent="0.3">
      <c r="A74" s="3" t="s">
        <v>8</v>
      </c>
      <c r="B74" s="3">
        <v>6.25</v>
      </c>
      <c r="C74" s="3">
        <v>41215</v>
      </c>
    </row>
    <row r="75" spans="1:3" x14ac:dyDescent="0.3">
      <c r="A75" s="3" t="s">
        <v>9</v>
      </c>
      <c r="B75" s="3">
        <v>1.75</v>
      </c>
      <c r="C75" s="3">
        <v>43836</v>
      </c>
    </row>
    <row r="76" spans="1:3" x14ac:dyDescent="0.3">
      <c r="A76" s="3" t="s">
        <v>10</v>
      </c>
      <c r="B76" s="3">
        <v>4.97</v>
      </c>
      <c r="C76" s="3">
        <v>4509</v>
      </c>
    </row>
    <row r="77" spans="1:3" x14ac:dyDescent="0.3">
      <c r="A77" s="3" t="s">
        <v>11</v>
      </c>
      <c r="B77" s="3">
        <v>9.3000000000000007</v>
      </c>
      <c r="C77" s="3">
        <v>27822</v>
      </c>
    </row>
    <row r="78" spans="1:3" x14ac:dyDescent="0.3">
      <c r="A78" s="3" t="s">
        <v>8</v>
      </c>
      <c r="B78" s="3">
        <v>8.9</v>
      </c>
      <c r="C78" s="3">
        <v>36397</v>
      </c>
    </row>
    <row r="79" spans="1:3" x14ac:dyDescent="0.3">
      <c r="A79" s="3" t="s">
        <v>9</v>
      </c>
      <c r="B79" s="3">
        <v>3.88</v>
      </c>
      <c r="C79" s="3">
        <v>7285</v>
      </c>
    </row>
    <row r="80" spans="1:3" x14ac:dyDescent="0.3">
      <c r="A80" s="3" t="s">
        <v>10</v>
      </c>
      <c r="B80" s="3">
        <v>5.9</v>
      </c>
      <c r="C80" s="3">
        <v>33174</v>
      </c>
    </row>
    <row r="81" spans="1:3" x14ac:dyDescent="0.3">
      <c r="A81" s="3" t="s">
        <v>11</v>
      </c>
      <c r="B81" s="3">
        <v>1.53</v>
      </c>
      <c r="C81" s="3">
        <v>6742</v>
      </c>
    </row>
    <row r="82" spans="1:3" x14ac:dyDescent="0.3">
      <c r="A82" s="3" t="s">
        <v>8</v>
      </c>
      <c r="B82" s="3">
        <v>6.5</v>
      </c>
      <c r="C82" s="3">
        <v>32478</v>
      </c>
    </row>
    <row r="83" spans="1:3" x14ac:dyDescent="0.3">
      <c r="A83" s="3" t="s">
        <v>9</v>
      </c>
      <c r="B83" s="3">
        <v>3.16</v>
      </c>
      <c r="C83" s="3">
        <v>42824</v>
      </c>
    </row>
    <row r="84" spans="1:3" x14ac:dyDescent="0.3">
      <c r="A84" s="3" t="s">
        <v>10</v>
      </c>
      <c r="B84" s="3">
        <v>8.25</v>
      </c>
      <c r="C84" s="3">
        <v>21208</v>
      </c>
    </row>
    <row r="85" spans="1:3" x14ac:dyDescent="0.3">
      <c r="A85" s="3" t="s">
        <v>11</v>
      </c>
      <c r="B85" s="3">
        <v>5.41</v>
      </c>
      <c r="C85" s="3">
        <v>44321</v>
      </c>
    </row>
    <row r="86" spans="1:3" x14ac:dyDescent="0.3">
      <c r="A86" s="3" t="s">
        <v>8</v>
      </c>
      <c r="B86" s="3">
        <v>5.85</v>
      </c>
      <c r="C86" s="3">
        <v>13116</v>
      </c>
    </row>
    <row r="87" spans="1:3" x14ac:dyDescent="0.3">
      <c r="A87" s="3" t="s">
        <v>9</v>
      </c>
      <c r="B87" s="3">
        <v>4.46</v>
      </c>
      <c r="C87" s="3">
        <v>30214</v>
      </c>
    </row>
    <row r="88" spans="1:3" x14ac:dyDescent="0.3">
      <c r="A88" s="3" t="s">
        <v>10</v>
      </c>
      <c r="B88" s="3">
        <v>5.22</v>
      </c>
      <c r="C88" s="3">
        <v>15827</v>
      </c>
    </row>
    <row r="89" spans="1:3" x14ac:dyDescent="0.3">
      <c r="A89" s="3" t="s">
        <v>11</v>
      </c>
      <c r="B89" s="3">
        <v>1.99</v>
      </c>
      <c r="C89" s="3">
        <v>46643</v>
      </c>
    </row>
    <row r="90" spans="1:3" x14ac:dyDescent="0.3">
      <c r="A90" s="3" t="s">
        <v>8</v>
      </c>
      <c r="B90" s="3">
        <v>6.85</v>
      </c>
      <c r="C90" s="3">
        <v>36484</v>
      </c>
    </row>
    <row r="91" spans="1:3" x14ac:dyDescent="0.3">
      <c r="A91" s="3" t="s">
        <v>9</v>
      </c>
      <c r="B91" s="3">
        <v>3.32</v>
      </c>
      <c r="C91" s="3">
        <v>4996</v>
      </c>
    </row>
    <row r="92" spans="1:3" x14ac:dyDescent="0.3">
      <c r="A92" s="3" t="s">
        <v>10</v>
      </c>
      <c r="B92" s="3">
        <v>5.68</v>
      </c>
      <c r="C92" s="3">
        <v>36095</v>
      </c>
    </row>
    <row r="93" spans="1:3" x14ac:dyDescent="0.3">
      <c r="A93" s="3" t="s">
        <v>11</v>
      </c>
      <c r="B93" s="3">
        <v>6.08</v>
      </c>
      <c r="C93" s="3">
        <v>16443</v>
      </c>
    </row>
    <row r="94" spans="1:3" x14ac:dyDescent="0.3">
      <c r="A94" s="3" t="s">
        <v>8</v>
      </c>
      <c r="B94" s="3">
        <v>4.66</v>
      </c>
      <c r="C94" s="3">
        <v>47812</v>
      </c>
    </row>
    <row r="95" spans="1:3" x14ac:dyDescent="0.3">
      <c r="A95" s="3" t="s">
        <v>9</v>
      </c>
      <c r="B95" s="3">
        <v>8.6999999999999993</v>
      </c>
      <c r="C95" s="3">
        <v>38452</v>
      </c>
    </row>
    <row r="96" spans="1:3" x14ac:dyDescent="0.3">
      <c r="A96" s="3" t="s">
        <v>10</v>
      </c>
      <c r="B96" s="3">
        <v>2.46</v>
      </c>
      <c r="C96" s="3">
        <v>30428</v>
      </c>
    </row>
    <row r="97" spans="1:3" x14ac:dyDescent="0.3">
      <c r="A97" s="3" t="s">
        <v>11</v>
      </c>
      <c r="B97" s="3">
        <v>7.97</v>
      </c>
      <c r="C97" s="3">
        <v>9269</v>
      </c>
    </row>
    <row r="98" spans="1:3" x14ac:dyDescent="0.3">
      <c r="A98" s="3" t="s">
        <v>8</v>
      </c>
      <c r="B98" s="3">
        <v>9.41</v>
      </c>
      <c r="C98" s="3">
        <v>29533</v>
      </c>
    </row>
    <row r="99" spans="1:3" x14ac:dyDescent="0.3">
      <c r="A99" s="3" t="s">
        <v>9</v>
      </c>
      <c r="B99" s="3">
        <v>2.68</v>
      </c>
      <c r="C99" s="3">
        <v>39997</v>
      </c>
    </row>
    <row r="100" spans="1:3" x14ac:dyDescent="0.3">
      <c r="A100" s="3" t="s">
        <v>10</v>
      </c>
      <c r="B100" s="3">
        <v>7.32</v>
      </c>
      <c r="C100" s="3">
        <v>5391</v>
      </c>
    </row>
    <row r="101" spans="1:3" x14ac:dyDescent="0.3">
      <c r="A101" s="3" t="s">
        <v>11</v>
      </c>
      <c r="B101" s="3">
        <v>4.68</v>
      </c>
      <c r="C101" s="3">
        <v>22373</v>
      </c>
    </row>
    <row r="102" spans="1:3" x14ac:dyDescent="0.3">
      <c r="A102" s="3" t="s">
        <v>8</v>
      </c>
      <c r="B102" s="3">
        <v>5.17</v>
      </c>
      <c r="C102" s="3">
        <v>1810</v>
      </c>
    </row>
    <row r="103" spans="1:3" x14ac:dyDescent="0.3">
      <c r="A103" s="3" t="s">
        <v>9</v>
      </c>
      <c r="B103" s="3">
        <v>6.2</v>
      </c>
      <c r="C103" s="3">
        <v>28498</v>
      </c>
    </row>
    <row r="104" spans="1:3" x14ac:dyDescent="0.3">
      <c r="A104" s="3" t="s">
        <v>10</v>
      </c>
      <c r="B104" s="3">
        <v>2.69</v>
      </c>
      <c r="C104" s="3">
        <v>39530</v>
      </c>
    </row>
    <row r="105" spans="1:3" x14ac:dyDescent="0.3">
      <c r="A105" s="3" t="s">
        <v>11</v>
      </c>
      <c r="B105" s="3">
        <v>8.9</v>
      </c>
      <c r="C105" s="3">
        <v>37876</v>
      </c>
    </row>
    <row r="106" spans="1:3" x14ac:dyDescent="0.3">
      <c r="A106" s="3" t="s">
        <v>8</v>
      </c>
      <c r="B106" s="3">
        <v>3.79</v>
      </c>
      <c r="C106" s="3">
        <v>36103</v>
      </c>
    </row>
    <row r="107" spans="1:3" x14ac:dyDescent="0.3">
      <c r="A107" s="3" t="s">
        <v>9</v>
      </c>
      <c r="B107" s="3">
        <v>4.79</v>
      </c>
      <c r="C107" s="3">
        <v>26103</v>
      </c>
    </row>
    <row r="108" spans="1:3" x14ac:dyDescent="0.3">
      <c r="A108" s="3" t="s">
        <v>10</v>
      </c>
      <c r="B108" s="3">
        <v>6.37</v>
      </c>
      <c r="C108" s="3">
        <v>3455</v>
      </c>
    </row>
    <row r="109" spans="1:3" x14ac:dyDescent="0.3">
      <c r="A109" s="3" t="s">
        <v>11</v>
      </c>
      <c r="B109" s="3">
        <v>2.65</v>
      </c>
      <c r="C109" s="3">
        <v>40888</v>
      </c>
    </row>
    <row r="110" spans="1:3" x14ac:dyDescent="0.3">
      <c r="A110" s="3" t="s">
        <v>8</v>
      </c>
      <c r="B110" s="3">
        <v>1.81</v>
      </c>
      <c r="C110" s="3">
        <v>22724</v>
      </c>
    </row>
    <row r="111" spans="1:3" x14ac:dyDescent="0.3">
      <c r="A111" s="3" t="s">
        <v>9</v>
      </c>
      <c r="B111" s="3">
        <v>7.47</v>
      </c>
      <c r="C111" s="3">
        <v>18601</v>
      </c>
    </row>
    <row r="112" spans="1:3" x14ac:dyDescent="0.3">
      <c r="A112" s="3" t="s">
        <v>10</v>
      </c>
      <c r="B112" s="3">
        <v>4.2</v>
      </c>
      <c r="C112" s="3">
        <v>20861</v>
      </c>
    </row>
    <row r="113" spans="1:3" x14ac:dyDescent="0.3">
      <c r="A113" s="3" t="s">
        <v>11</v>
      </c>
      <c r="B113" s="3">
        <v>5.43</v>
      </c>
      <c r="C113" s="3">
        <v>46625</v>
      </c>
    </row>
    <row r="114" spans="1:3" x14ac:dyDescent="0.3">
      <c r="A114" s="3" t="s">
        <v>8</v>
      </c>
      <c r="B114" s="3">
        <v>3.32</v>
      </c>
      <c r="C114" s="3">
        <v>20692</v>
      </c>
    </row>
    <row r="115" spans="1:3" x14ac:dyDescent="0.3">
      <c r="A115" s="3" t="s">
        <v>9</v>
      </c>
      <c r="B115" s="3">
        <v>8.11</v>
      </c>
      <c r="C115" s="3">
        <v>18656</v>
      </c>
    </row>
    <row r="116" spans="1:3" x14ac:dyDescent="0.3">
      <c r="A116" s="3" t="s">
        <v>10</v>
      </c>
      <c r="B116" s="3">
        <v>6.66</v>
      </c>
      <c r="C116" s="3">
        <v>13316</v>
      </c>
    </row>
    <row r="117" spans="1:3" x14ac:dyDescent="0.3">
      <c r="A117" s="3" t="s">
        <v>11</v>
      </c>
      <c r="B117" s="3">
        <v>8.09</v>
      </c>
      <c r="C117" s="3">
        <v>49558</v>
      </c>
    </row>
    <row r="118" spans="1:3" x14ac:dyDescent="0.3">
      <c r="A118" s="3" t="s">
        <v>8</v>
      </c>
      <c r="B118" s="3">
        <v>8.44</v>
      </c>
      <c r="C118" s="3">
        <v>4683</v>
      </c>
    </row>
    <row r="119" spans="1:3" x14ac:dyDescent="0.3">
      <c r="A119" s="3" t="s">
        <v>9</v>
      </c>
      <c r="B119" s="3">
        <v>2.02</v>
      </c>
      <c r="C119" s="3">
        <v>47502</v>
      </c>
    </row>
    <row r="120" spans="1:3" x14ac:dyDescent="0.3">
      <c r="A120" s="3" t="s">
        <v>10</v>
      </c>
      <c r="B120" s="3">
        <v>7.74</v>
      </c>
      <c r="C120" s="3">
        <v>35359</v>
      </c>
    </row>
    <row r="121" spans="1:3" x14ac:dyDescent="0.3">
      <c r="A121" s="3" t="s">
        <v>11</v>
      </c>
      <c r="B121" s="3">
        <v>2.89</v>
      </c>
      <c r="C121" s="3">
        <v>14154</v>
      </c>
    </row>
    <row r="122" spans="1:3" x14ac:dyDescent="0.3">
      <c r="A122" s="3" t="s">
        <v>8</v>
      </c>
      <c r="B122" s="3">
        <v>1.76</v>
      </c>
      <c r="C122" s="3">
        <v>4313</v>
      </c>
    </row>
    <row r="123" spans="1:3" x14ac:dyDescent="0.3">
      <c r="A123" s="3" t="s">
        <v>9</v>
      </c>
      <c r="B123" s="3">
        <v>3.09</v>
      </c>
      <c r="C123" s="3">
        <v>25140</v>
      </c>
    </row>
    <row r="124" spans="1:3" x14ac:dyDescent="0.3">
      <c r="A124" s="3" t="s">
        <v>10</v>
      </c>
      <c r="B124" s="3">
        <v>4.68</v>
      </c>
      <c r="C124" s="3">
        <v>9118</v>
      </c>
    </row>
    <row r="125" spans="1:3" x14ac:dyDescent="0.3">
      <c r="A125" s="3" t="s">
        <v>11</v>
      </c>
      <c r="B125" s="3">
        <v>4.4800000000000004</v>
      </c>
      <c r="C125" s="3">
        <v>39931</v>
      </c>
    </row>
    <row r="126" spans="1:3" x14ac:dyDescent="0.3">
      <c r="A126" s="3" t="s">
        <v>8</v>
      </c>
      <c r="B126" s="3">
        <v>5.3</v>
      </c>
      <c r="C126" s="3">
        <v>37132</v>
      </c>
    </row>
    <row r="127" spans="1:3" x14ac:dyDescent="0.3">
      <c r="A127" s="3" t="s">
        <v>9</v>
      </c>
      <c r="B127" s="3">
        <v>8.1999999999999993</v>
      </c>
      <c r="C127" s="3">
        <v>17951</v>
      </c>
    </row>
    <row r="128" spans="1:3" x14ac:dyDescent="0.3">
      <c r="A128" s="3" t="s">
        <v>10</v>
      </c>
      <c r="B128" s="3">
        <v>2.2200000000000002</v>
      </c>
      <c r="C128" s="3">
        <v>2798</v>
      </c>
    </row>
    <row r="129" spans="1:3" x14ac:dyDescent="0.3">
      <c r="A129" s="3" t="s">
        <v>11</v>
      </c>
      <c r="B129" s="3">
        <v>8.33</v>
      </c>
      <c r="C129" s="3">
        <v>15045</v>
      </c>
    </row>
    <row r="130" spans="1:3" x14ac:dyDescent="0.3">
      <c r="A130" s="3" t="s">
        <v>8</v>
      </c>
      <c r="B130" s="3">
        <v>3.3</v>
      </c>
      <c r="C130" s="3">
        <v>14548</v>
      </c>
    </row>
    <row r="131" spans="1:3" x14ac:dyDescent="0.3">
      <c r="A131" s="3" t="s">
        <v>9</v>
      </c>
      <c r="B131" s="3">
        <v>5.61</v>
      </c>
      <c r="C131" s="3">
        <v>45708</v>
      </c>
    </row>
    <row r="132" spans="1:3" x14ac:dyDescent="0.3">
      <c r="A132" s="3" t="s">
        <v>10</v>
      </c>
      <c r="B132" s="3">
        <v>2.56</v>
      </c>
      <c r="C132" s="3">
        <v>12350</v>
      </c>
    </row>
    <row r="133" spans="1:3" x14ac:dyDescent="0.3">
      <c r="A133" s="3" t="s">
        <v>11</v>
      </c>
      <c r="B133" s="3">
        <v>3.29</v>
      </c>
      <c r="C133" s="3">
        <v>40868</v>
      </c>
    </row>
    <row r="134" spans="1:3" x14ac:dyDescent="0.3">
      <c r="A134" s="3" t="s">
        <v>8</v>
      </c>
      <c r="B134" s="3">
        <v>9.24</v>
      </c>
      <c r="C134" s="3">
        <v>43122</v>
      </c>
    </row>
    <row r="135" spans="1:3" x14ac:dyDescent="0.3">
      <c r="A135" s="3" t="s">
        <v>9</v>
      </c>
      <c r="B135" s="3">
        <v>4.51</v>
      </c>
      <c r="C135" s="3">
        <v>23853</v>
      </c>
    </row>
    <row r="136" spans="1:3" x14ac:dyDescent="0.3">
      <c r="A136" s="3" t="s">
        <v>10</v>
      </c>
      <c r="B136" s="3">
        <v>5.23</v>
      </c>
      <c r="C136" s="3">
        <v>45380</v>
      </c>
    </row>
    <row r="137" spans="1:3" x14ac:dyDescent="0.3">
      <c r="A137" s="3" t="s">
        <v>11</v>
      </c>
      <c r="B137" s="3">
        <v>4.68</v>
      </c>
      <c r="C137" s="3">
        <v>7705</v>
      </c>
    </row>
    <row r="138" spans="1:3" x14ac:dyDescent="0.3">
      <c r="A138" s="3" t="s">
        <v>8</v>
      </c>
      <c r="B138" s="3">
        <v>9.23</v>
      </c>
      <c r="C138" s="3">
        <v>25525</v>
      </c>
    </row>
    <row r="139" spans="1:3" x14ac:dyDescent="0.3">
      <c r="A139" s="3" t="s">
        <v>9</v>
      </c>
      <c r="B139" s="3">
        <v>6.37</v>
      </c>
      <c r="C139" s="3">
        <v>20560</v>
      </c>
    </row>
    <row r="140" spans="1:3" x14ac:dyDescent="0.3">
      <c r="A140" s="3" t="s">
        <v>10</v>
      </c>
      <c r="B140" s="3">
        <v>2.0099999999999998</v>
      </c>
      <c r="C140" s="3">
        <v>19119</v>
      </c>
    </row>
    <row r="141" spans="1:3" x14ac:dyDescent="0.3">
      <c r="A141" s="3" t="s">
        <v>11</v>
      </c>
      <c r="B141" s="3">
        <v>3.72</v>
      </c>
      <c r="C141" s="3">
        <v>43999</v>
      </c>
    </row>
    <row r="142" spans="1:3" x14ac:dyDescent="0.3">
      <c r="A142" s="3" t="s">
        <v>8</v>
      </c>
      <c r="B142" s="3">
        <v>3.89</v>
      </c>
      <c r="C142" s="3">
        <v>10825</v>
      </c>
    </row>
    <row r="143" spans="1:3" x14ac:dyDescent="0.3">
      <c r="A143" s="3" t="s">
        <v>9</v>
      </c>
      <c r="B143" s="3">
        <v>8.6999999999999993</v>
      </c>
      <c r="C143" s="3">
        <v>40323</v>
      </c>
    </row>
    <row r="144" spans="1:3" x14ac:dyDescent="0.3">
      <c r="A144" s="3" t="s">
        <v>10</v>
      </c>
      <c r="B144" s="3">
        <v>6.95</v>
      </c>
      <c r="C144" s="3">
        <v>48270</v>
      </c>
    </row>
    <row r="145" spans="1:3" x14ac:dyDescent="0.3">
      <c r="A145" s="3" t="s">
        <v>11</v>
      </c>
      <c r="B145" s="3">
        <v>9.48</v>
      </c>
      <c r="C145" s="3">
        <v>18001</v>
      </c>
    </row>
    <row r="146" spans="1:3" x14ac:dyDescent="0.3">
      <c r="A146" s="3" t="s">
        <v>8</v>
      </c>
      <c r="B146" s="3">
        <v>4.6100000000000003</v>
      </c>
      <c r="C146" s="3">
        <v>3314</v>
      </c>
    </row>
    <row r="147" spans="1:3" x14ac:dyDescent="0.3">
      <c r="A147" s="3" t="s">
        <v>9</v>
      </c>
      <c r="B147" s="3">
        <v>8.0299999999999994</v>
      </c>
      <c r="C147" s="3">
        <v>23489</v>
      </c>
    </row>
    <row r="148" spans="1:3" x14ac:dyDescent="0.3">
      <c r="A148" s="3" t="s">
        <v>10</v>
      </c>
      <c r="B148" s="3">
        <v>6.99</v>
      </c>
      <c r="C148" s="3">
        <v>42832</v>
      </c>
    </row>
    <row r="149" spans="1:3" x14ac:dyDescent="0.3">
      <c r="A149" s="3" t="s">
        <v>11</v>
      </c>
      <c r="B149" s="3">
        <v>9.0299999999999994</v>
      </c>
      <c r="C149" s="3">
        <v>24494</v>
      </c>
    </row>
    <row r="150" spans="1:3" x14ac:dyDescent="0.3">
      <c r="A150" s="3" t="s">
        <v>8</v>
      </c>
      <c r="B150" s="3">
        <v>2.86</v>
      </c>
      <c r="C150" s="3">
        <v>44097</v>
      </c>
    </row>
    <row r="151" spans="1:3" x14ac:dyDescent="0.3">
      <c r="A151" s="3" t="s">
        <v>9</v>
      </c>
      <c r="B151" s="3">
        <v>3.85</v>
      </c>
      <c r="C151" s="3">
        <v>31853</v>
      </c>
    </row>
    <row r="152" spans="1:3" x14ac:dyDescent="0.3">
      <c r="A152" s="3" t="s">
        <v>10</v>
      </c>
      <c r="B152" s="3">
        <v>7.3</v>
      </c>
      <c r="C152" s="3">
        <v>37636</v>
      </c>
    </row>
    <row r="153" spans="1:3" x14ac:dyDescent="0.3">
      <c r="A153" s="3" t="s">
        <v>11</v>
      </c>
      <c r="B153" s="3">
        <v>9.08</v>
      </c>
      <c r="C153" s="3">
        <v>22996</v>
      </c>
    </row>
    <row r="154" spans="1:3" x14ac:dyDescent="0.3">
      <c r="A154" s="3" t="s">
        <v>8</v>
      </c>
      <c r="B154" s="3">
        <v>4.34</v>
      </c>
      <c r="C154" s="3">
        <v>49772</v>
      </c>
    </row>
    <row r="155" spans="1:3" x14ac:dyDescent="0.3">
      <c r="A155" s="3" t="s">
        <v>9</v>
      </c>
      <c r="B155" s="3">
        <v>7.8</v>
      </c>
      <c r="C155" s="3">
        <v>22713</v>
      </c>
    </row>
    <row r="156" spans="1:3" x14ac:dyDescent="0.3">
      <c r="A156" s="3" t="s">
        <v>10</v>
      </c>
      <c r="B156" s="3">
        <v>3.85</v>
      </c>
      <c r="C156" s="3">
        <v>8718</v>
      </c>
    </row>
    <row r="157" spans="1:3" x14ac:dyDescent="0.3">
      <c r="A157" s="3" t="s">
        <v>11</v>
      </c>
      <c r="B157" s="3">
        <v>6.58</v>
      </c>
      <c r="C157" s="3">
        <v>39031</v>
      </c>
    </row>
    <row r="158" spans="1:3" x14ac:dyDescent="0.3">
      <c r="A158" s="3" t="s">
        <v>8</v>
      </c>
      <c r="B158" s="3">
        <v>8.6199999999999992</v>
      </c>
      <c r="C158" s="3">
        <v>33799</v>
      </c>
    </row>
    <row r="159" spans="1:3" x14ac:dyDescent="0.3">
      <c r="A159" s="3" t="s">
        <v>9</v>
      </c>
      <c r="B159" s="3">
        <v>4.55</v>
      </c>
      <c r="C159" s="3">
        <v>20553</v>
      </c>
    </row>
    <row r="160" spans="1:3" x14ac:dyDescent="0.3">
      <c r="A160" s="3" t="s">
        <v>10</v>
      </c>
      <c r="B160" s="3">
        <v>8.33</v>
      </c>
      <c r="C160" s="3">
        <v>10002</v>
      </c>
    </row>
    <row r="161" spans="1:3" x14ac:dyDescent="0.3">
      <c r="A161" s="3" t="s">
        <v>11</v>
      </c>
      <c r="B161" s="3">
        <v>9.4</v>
      </c>
      <c r="C161" s="3">
        <v>30987</v>
      </c>
    </row>
    <row r="162" spans="1:3" x14ac:dyDescent="0.3">
      <c r="A162" s="3" t="s">
        <v>8</v>
      </c>
      <c r="B162" s="3">
        <v>7.23</v>
      </c>
      <c r="C162" s="3">
        <v>6296</v>
      </c>
    </row>
    <row r="163" spans="1:3" x14ac:dyDescent="0.3">
      <c r="A163" s="3" t="s">
        <v>9</v>
      </c>
      <c r="B163" s="3">
        <v>9.39</v>
      </c>
      <c r="C163" s="3">
        <v>21539</v>
      </c>
    </row>
    <row r="164" spans="1:3" x14ac:dyDescent="0.3">
      <c r="A164" s="3" t="s">
        <v>10</v>
      </c>
      <c r="B164" s="3">
        <v>5.12</v>
      </c>
      <c r="C164" s="3">
        <v>14722</v>
      </c>
    </row>
    <row r="165" spans="1:3" x14ac:dyDescent="0.3">
      <c r="A165" s="3" t="s">
        <v>11</v>
      </c>
      <c r="B165" s="3">
        <v>6.11</v>
      </c>
      <c r="C165" s="3">
        <v>11383</v>
      </c>
    </row>
    <row r="166" spans="1:3" x14ac:dyDescent="0.3">
      <c r="A166" s="3" t="s">
        <v>8</v>
      </c>
      <c r="B166" s="3">
        <v>7.74</v>
      </c>
      <c r="C166" s="3">
        <v>9480</v>
      </c>
    </row>
    <row r="167" spans="1:3" x14ac:dyDescent="0.3">
      <c r="A167" s="3" t="s">
        <v>9</v>
      </c>
      <c r="B167" s="3">
        <v>4.9400000000000004</v>
      </c>
      <c r="C167" s="3">
        <v>29116</v>
      </c>
    </row>
    <row r="168" spans="1:3" x14ac:dyDescent="0.3">
      <c r="A168" s="3" t="s">
        <v>10</v>
      </c>
      <c r="B168" s="3">
        <v>1.8</v>
      </c>
      <c r="C168" s="3">
        <v>14068</v>
      </c>
    </row>
    <row r="169" spans="1:3" x14ac:dyDescent="0.3">
      <c r="A169" s="3" t="s">
        <v>11</v>
      </c>
      <c r="B169" s="3">
        <v>8.64</v>
      </c>
      <c r="C169" s="3">
        <v>35801</v>
      </c>
    </row>
    <row r="170" spans="1:3" x14ac:dyDescent="0.3">
      <c r="A170" s="3" t="s">
        <v>8</v>
      </c>
      <c r="B170" s="3">
        <v>1.53</v>
      </c>
      <c r="C170" s="3">
        <v>49077</v>
      </c>
    </row>
    <row r="171" spans="1:3" x14ac:dyDescent="0.3">
      <c r="A171" s="3" t="s">
        <v>9</v>
      </c>
      <c r="B171" s="3">
        <v>8.52</v>
      </c>
      <c r="C171" s="3">
        <v>21453</v>
      </c>
    </row>
    <row r="172" spans="1:3" x14ac:dyDescent="0.3">
      <c r="A172" s="3" t="s">
        <v>10</v>
      </c>
      <c r="B172" s="3">
        <v>5.53</v>
      </c>
      <c r="C172" s="3">
        <v>21061</v>
      </c>
    </row>
    <row r="173" spans="1:3" x14ac:dyDescent="0.3">
      <c r="A173" s="3" t="s">
        <v>11</v>
      </c>
      <c r="B173" s="3">
        <v>1.87</v>
      </c>
      <c r="C173" s="3">
        <v>20059</v>
      </c>
    </row>
    <row r="174" spans="1:3" x14ac:dyDescent="0.3">
      <c r="A174" s="3" t="s">
        <v>8</v>
      </c>
      <c r="B174" s="3">
        <v>6.27</v>
      </c>
      <c r="C174" s="3">
        <v>23140</v>
      </c>
    </row>
    <row r="175" spans="1:3" x14ac:dyDescent="0.3">
      <c r="A175" s="3" t="s">
        <v>9</v>
      </c>
      <c r="B175" s="3">
        <v>9.4600000000000009</v>
      </c>
      <c r="C175" s="3">
        <v>23461</v>
      </c>
    </row>
    <row r="176" spans="1:3" x14ac:dyDescent="0.3">
      <c r="A176" s="3" t="s">
        <v>10</v>
      </c>
      <c r="B176" s="3">
        <v>7.5</v>
      </c>
      <c r="C176" s="3">
        <v>11805</v>
      </c>
    </row>
    <row r="177" spans="1:3" x14ac:dyDescent="0.3">
      <c r="A177" s="3" t="s">
        <v>11</v>
      </c>
      <c r="B177" s="3">
        <v>4.7300000000000004</v>
      </c>
      <c r="C177" s="3">
        <v>15969</v>
      </c>
    </row>
    <row r="178" spans="1:3" x14ac:dyDescent="0.3">
      <c r="A178" s="3" t="s">
        <v>8</v>
      </c>
      <c r="B178" s="3">
        <v>3.19</v>
      </c>
      <c r="C178" s="3">
        <v>2436</v>
      </c>
    </row>
    <row r="179" spans="1:3" x14ac:dyDescent="0.3">
      <c r="A179" s="3" t="s">
        <v>9</v>
      </c>
      <c r="B179" s="3">
        <v>2.4900000000000002</v>
      </c>
      <c r="C179" s="3">
        <v>47603</v>
      </c>
    </row>
    <row r="180" spans="1:3" x14ac:dyDescent="0.3">
      <c r="A180" s="3" t="s">
        <v>10</v>
      </c>
      <c r="B180" s="3">
        <v>4.5</v>
      </c>
      <c r="C180" s="3">
        <v>42964</v>
      </c>
    </row>
    <row r="181" spans="1:3" x14ac:dyDescent="0.3">
      <c r="A181" s="3" t="s">
        <v>11</v>
      </c>
      <c r="B181" s="3">
        <v>6.49</v>
      </c>
      <c r="C181" s="3">
        <v>39923</v>
      </c>
    </row>
    <row r="182" spans="1:3" x14ac:dyDescent="0.3">
      <c r="A182" s="3" t="s">
        <v>8</v>
      </c>
      <c r="B182" s="3">
        <v>6.73</v>
      </c>
      <c r="C182" s="3">
        <v>2293</v>
      </c>
    </row>
    <row r="183" spans="1:3" x14ac:dyDescent="0.3">
      <c r="A183" s="3" t="s">
        <v>9</v>
      </c>
      <c r="B183" s="3">
        <v>4.83</v>
      </c>
      <c r="C183" s="3">
        <v>25920</v>
      </c>
    </row>
    <row r="184" spans="1:3" x14ac:dyDescent="0.3">
      <c r="A184" s="3" t="s">
        <v>10</v>
      </c>
      <c r="B184" s="3">
        <v>5.3</v>
      </c>
      <c r="C184" s="3">
        <v>11035</v>
      </c>
    </row>
    <row r="185" spans="1:3" x14ac:dyDescent="0.3">
      <c r="A185" s="3" t="s">
        <v>11</v>
      </c>
      <c r="B185" s="3">
        <v>6.54</v>
      </c>
      <c r="C185" s="3">
        <v>20733</v>
      </c>
    </row>
    <row r="186" spans="1:3" x14ac:dyDescent="0.3">
      <c r="A186" s="3" t="s">
        <v>8</v>
      </c>
      <c r="B186" s="3">
        <v>6.8</v>
      </c>
      <c r="C186" s="3">
        <v>18693</v>
      </c>
    </row>
    <row r="187" spans="1:3" x14ac:dyDescent="0.3">
      <c r="A187" s="3" t="s">
        <v>9</v>
      </c>
      <c r="B187" s="3">
        <v>2.6</v>
      </c>
      <c r="C187" s="3">
        <v>7875</v>
      </c>
    </row>
    <row r="188" spans="1:3" x14ac:dyDescent="0.3">
      <c r="A188" s="3" t="s">
        <v>10</v>
      </c>
      <c r="B188" s="3">
        <v>2.44</v>
      </c>
      <c r="C188" s="3">
        <v>8471</v>
      </c>
    </row>
    <row r="189" spans="1:3" x14ac:dyDescent="0.3">
      <c r="A189" s="3" t="s">
        <v>11</v>
      </c>
      <c r="B189" s="3">
        <v>3.09</v>
      </c>
      <c r="C189" s="3">
        <v>14090</v>
      </c>
    </row>
    <row r="190" spans="1:3" x14ac:dyDescent="0.3">
      <c r="A190" s="3" t="s">
        <v>8</v>
      </c>
      <c r="B190" s="3">
        <v>5.69</v>
      </c>
      <c r="C190" s="3">
        <v>14216</v>
      </c>
    </row>
    <row r="191" spans="1:3" x14ac:dyDescent="0.3">
      <c r="A191" s="3" t="s">
        <v>9</v>
      </c>
      <c r="B191" s="3">
        <v>3.86</v>
      </c>
      <c r="C191" s="3">
        <v>3582</v>
      </c>
    </row>
    <row r="192" spans="1:3" x14ac:dyDescent="0.3">
      <c r="A192" s="3" t="s">
        <v>10</v>
      </c>
      <c r="B192" s="3">
        <v>3.16</v>
      </c>
      <c r="C192" s="3">
        <v>32500</v>
      </c>
    </row>
    <row r="193" spans="1:3" x14ac:dyDescent="0.3">
      <c r="A193" s="3" t="s">
        <v>11</v>
      </c>
      <c r="B193" s="3">
        <v>1.6</v>
      </c>
      <c r="C193" s="3">
        <v>6832</v>
      </c>
    </row>
    <row r="194" spans="1:3" x14ac:dyDescent="0.3">
      <c r="A194" s="3" t="s">
        <v>8</v>
      </c>
      <c r="B194" s="3">
        <v>6.09</v>
      </c>
      <c r="C194" s="3">
        <v>33381</v>
      </c>
    </row>
    <row r="195" spans="1:3" x14ac:dyDescent="0.3">
      <c r="A195" s="3" t="s">
        <v>9</v>
      </c>
      <c r="B195" s="3">
        <v>5.59</v>
      </c>
      <c r="C195" s="3">
        <v>48419</v>
      </c>
    </row>
    <row r="196" spans="1:3" x14ac:dyDescent="0.3">
      <c r="A196" s="3" t="s">
        <v>10</v>
      </c>
      <c r="B196" s="3">
        <v>3.55</v>
      </c>
      <c r="C196" s="3">
        <v>16149</v>
      </c>
    </row>
    <row r="197" spans="1:3" x14ac:dyDescent="0.3">
      <c r="A197" s="3" t="s">
        <v>11</v>
      </c>
      <c r="B197" s="3">
        <v>5.21</v>
      </c>
      <c r="C197" s="3">
        <v>7541</v>
      </c>
    </row>
    <row r="198" spans="1:3" x14ac:dyDescent="0.3">
      <c r="A198" s="3" t="s">
        <v>8</v>
      </c>
      <c r="B198" s="3">
        <v>1.82</v>
      </c>
      <c r="C198" s="3">
        <v>20042</v>
      </c>
    </row>
    <row r="199" spans="1:3" x14ac:dyDescent="0.3">
      <c r="A199" s="3" t="s">
        <v>9</v>
      </c>
      <c r="B199" s="3">
        <v>4</v>
      </c>
      <c r="C199" s="3">
        <v>49400</v>
      </c>
    </row>
    <row r="200" spans="1:3" x14ac:dyDescent="0.3">
      <c r="A200" s="3" t="s">
        <v>10</v>
      </c>
      <c r="B200" s="3">
        <v>7.57</v>
      </c>
      <c r="C200" s="3">
        <v>4007</v>
      </c>
    </row>
    <row r="201" spans="1:3" x14ac:dyDescent="0.3">
      <c r="A201" s="3" t="s">
        <v>11</v>
      </c>
      <c r="B201" s="3">
        <v>6.81</v>
      </c>
      <c r="C201" s="3">
        <v>12174</v>
      </c>
    </row>
    <row r="202" spans="1:3" ht="28.8" x14ac:dyDescent="0.3">
      <c r="A202" s="2" t="s">
        <v>5</v>
      </c>
    </row>
    <row r="203" spans="1:3" x14ac:dyDescent="0.3">
      <c r="A203" s="3">
        <v>8.06</v>
      </c>
    </row>
    <row r="204" spans="1:3" x14ac:dyDescent="0.3">
      <c r="A204" s="3">
        <v>4.9800000000000004</v>
      </c>
    </row>
    <row r="205" spans="1:3" x14ac:dyDescent="0.3">
      <c r="A205" s="3">
        <v>8.31</v>
      </c>
    </row>
    <row r="206" spans="1:3" x14ac:dyDescent="0.3">
      <c r="A206" s="3">
        <v>4.1100000000000003</v>
      </c>
    </row>
    <row r="207" spans="1:3" x14ac:dyDescent="0.3">
      <c r="A207" s="3">
        <v>9.0500000000000007</v>
      </c>
    </row>
    <row r="208" spans="1:3" x14ac:dyDescent="0.3">
      <c r="A208" s="3">
        <v>2.37</v>
      </c>
    </row>
    <row r="209" spans="1:1" x14ac:dyDescent="0.3">
      <c r="A209" s="3">
        <v>4.01</v>
      </c>
    </row>
    <row r="210" spans="1:1" x14ac:dyDescent="0.3">
      <c r="A210" s="3">
        <v>3.16</v>
      </c>
    </row>
    <row r="211" spans="1:1" x14ac:dyDescent="0.3">
      <c r="A211" s="3">
        <v>2.46</v>
      </c>
    </row>
    <row r="212" spans="1:1" x14ac:dyDescent="0.3">
      <c r="A212" s="3">
        <v>8.11</v>
      </c>
    </row>
    <row r="213" spans="1:1" x14ac:dyDescent="0.3">
      <c r="A213" s="3">
        <v>8.19</v>
      </c>
    </row>
    <row r="214" spans="1:1" x14ac:dyDescent="0.3">
      <c r="A214" s="3">
        <v>3.49</v>
      </c>
    </row>
    <row r="215" spans="1:1" x14ac:dyDescent="0.3">
      <c r="A215" s="3">
        <v>6.92</v>
      </c>
    </row>
    <row r="216" spans="1:1" x14ac:dyDescent="0.3">
      <c r="A216" s="3">
        <v>9.1199999999999992</v>
      </c>
    </row>
    <row r="217" spans="1:1" x14ac:dyDescent="0.3">
      <c r="A217" s="3">
        <v>3.5</v>
      </c>
    </row>
    <row r="218" spans="1:1" x14ac:dyDescent="0.3">
      <c r="A218" s="3">
        <v>2.62</v>
      </c>
    </row>
    <row r="219" spans="1:1" x14ac:dyDescent="0.3">
      <c r="A219" s="3">
        <v>9.36</v>
      </c>
    </row>
    <row r="220" spans="1:1" x14ac:dyDescent="0.3">
      <c r="A220" s="3">
        <v>4.4800000000000004</v>
      </c>
    </row>
    <row r="221" spans="1:1" x14ac:dyDescent="0.3">
      <c r="A221" s="3">
        <v>6.19</v>
      </c>
    </row>
    <row r="222" spans="1:1" x14ac:dyDescent="0.3">
      <c r="A222" s="3">
        <v>8.7200000000000006</v>
      </c>
    </row>
    <row r="223" spans="1:1" x14ac:dyDescent="0.3">
      <c r="A223" s="3">
        <v>8.74</v>
      </c>
    </row>
    <row r="224" spans="1:1" x14ac:dyDescent="0.3">
      <c r="A224" s="3">
        <v>1.91</v>
      </c>
    </row>
    <row r="225" spans="1:1" x14ac:dyDescent="0.3">
      <c r="A225" s="3">
        <v>4.66</v>
      </c>
    </row>
    <row r="226" spans="1:1" x14ac:dyDescent="0.3">
      <c r="A226" s="3">
        <v>2.88</v>
      </c>
    </row>
    <row r="227" spans="1:1" x14ac:dyDescent="0.3">
      <c r="A227" s="3">
        <v>3.74</v>
      </c>
    </row>
    <row r="228" spans="1:1" x14ac:dyDescent="0.3">
      <c r="A228" s="3">
        <v>6.44</v>
      </c>
    </row>
    <row r="229" spans="1:1" x14ac:dyDescent="0.3">
      <c r="A229" s="3">
        <v>8.56</v>
      </c>
    </row>
    <row r="230" spans="1:1" x14ac:dyDescent="0.3">
      <c r="A230" s="3">
        <v>4.5599999999999996</v>
      </c>
    </row>
    <row r="231" spans="1:1" x14ac:dyDescent="0.3">
      <c r="A231" s="3">
        <v>7.88</v>
      </c>
    </row>
    <row r="232" spans="1:1" x14ac:dyDescent="0.3">
      <c r="A232" s="3">
        <v>7.86</v>
      </c>
    </row>
    <row r="233" spans="1:1" x14ac:dyDescent="0.3">
      <c r="A233" s="3">
        <v>5.34</v>
      </c>
    </row>
    <row r="234" spans="1:1" x14ac:dyDescent="0.3">
      <c r="A234" s="3">
        <v>5.52</v>
      </c>
    </row>
    <row r="235" spans="1:1" x14ac:dyDescent="0.3">
      <c r="A235" s="3">
        <v>4.05</v>
      </c>
    </row>
    <row r="236" spans="1:1" x14ac:dyDescent="0.3">
      <c r="A236" s="3">
        <v>7.73</v>
      </c>
    </row>
    <row r="237" spans="1:1" x14ac:dyDescent="0.3">
      <c r="A237" s="3">
        <v>4.3600000000000003</v>
      </c>
    </row>
    <row r="238" spans="1:1" x14ac:dyDescent="0.3">
      <c r="A238" s="3">
        <v>3.48</v>
      </c>
    </row>
    <row r="239" spans="1:1" x14ac:dyDescent="0.3">
      <c r="A239" s="3">
        <v>7.83</v>
      </c>
    </row>
    <row r="240" spans="1:1" x14ac:dyDescent="0.3">
      <c r="A240" s="3">
        <v>6.11</v>
      </c>
    </row>
    <row r="241" spans="1:1" x14ac:dyDescent="0.3">
      <c r="A241" s="3">
        <v>9.43</v>
      </c>
    </row>
    <row r="242" spans="1:1" x14ac:dyDescent="0.3">
      <c r="A242" s="3">
        <v>4.04</v>
      </c>
    </row>
    <row r="243" spans="1:1" x14ac:dyDescent="0.3">
      <c r="A243" s="3">
        <v>6.23</v>
      </c>
    </row>
    <row r="244" spans="1:1" x14ac:dyDescent="0.3">
      <c r="A244" s="3">
        <v>6.01</v>
      </c>
    </row>
    <row r="245" spans="1:1" x14ac:dyDescent="0.3">
      <c r="A245" s="3">
        <v>8.5500000000000007</v>
      </c>
    </row>
    <row r="246" spans="1:1" x14ac:dyDescent="0.3">
      <c r="A246" s="3">
        <v>5.42</v>
      </c>
    </row>
    <row r="247" spans="1:1" x14ac:dyDescent="0.3">
      <c r="A247" s="3">
        <v>3.25</v>
      </c>
    </row>
    <row r="248" spans="1:1" x14ac:dyDescent="0.3">
      <c r="A248" s="3">
        <v>8.84</v>
      </c>
    </row>
    <row r="249" spans="1:1" x14ac:dyDescent="0.3">
      <c r="A249" s="3">
        <v>7.24</v>
      </c>
    </row>
    <row r="250" spans="1:1" x14ac:dyDescent="0.3">
      <c r="A250" s="3">
        <v>6.19</v>
      </c>
    </row>
    <row r="251" spans="1:1" x14ac:dyDescent="0.3">
      <c r="A251" s="3">
        <v>5.71</v>
      </c>
    </row>
    <row r="252" spans="1:1" x14ac:dyDescent="0.3">
      <c r="A252" s="3">
        <v>9.0399999999999991</v>
      </c>
    </row>
    <row r="253" spans="1:1" x14ac:dyDescent="0.3">
      <c r="A253" s="3">
        <v>3.91</v>
      </c>
    </row>
    <row r="254" spans="1:1" x14ac:dyDescent="0.3">
      <c r="A254" s="3">
        <v>7.83</v>
      </c>
    </row>
    <row r="255" spans="1:1" x14ac:dyDescent="0.3">
      <c r="A255" s="3">
        <v>7.16</v>
      </c>
    </row>
    <row r="256" spans="1:1" x14ac:dyDescent="0.3">
      <c r="A256" s="3">
        <v>6.41</v>
      </c>
    </row>
    <row r="257" spans="1:1" x14ac:dyDescent="0.3">
      <c r="A257" s="3">
        <v>8.02</v>
      </c>
    </row>
    <row r="258" spans="1:1" x14ac:dyDescent="0.3">
      <c r="A258" s="3">
        <v>3.86</v>
      </c>
    </row>
    <row r="259" spans="1:1" x14ac:dyDescent="0.3">
      <c r="A259" s="3">
        <v>9.09</v>
      </c>
    </row>
    <row r="260" spans="1:1" x14ac:dyDescent="0.3">
      <c r="A260" s="3">
        <v>1.76</v>
      </c>
    </row>
    <row r="261" spans="1:1" x14ac:dyDescent="0.3">
      <c r="A261" s="3">
        <v>9.24</v>
      </c>
    </row>
    <row r="262" spans="1:1" x14ac:dyDescent="0.3">
      <c r="A262" s="3">
        <v>8.99</v>
      </c>
    </row>
    <row r="263" spans="1:1" x14ac:dyDescent="0.3">
      <c r="A263" s="3">
        <v>3.4</v>
      </c>
    </row>
    <row r="264" spans="1:1" x14ac:dyDescent="0.3">
      <c r="A264" s="3">
        <v>9.1999999999999993</v>
      </c>
    </row>
    <row r="265" spans="1:1" x14ac:dyDescent="0.3">
      <c r="A265" s="3">
        <v>8.59</v>
      </c>
    </row>
    <row r="266" spans="1:1" x14ac:dyDescent="0.3">
      <c r="A266" s="3">
        <v>3.5</v>
      </c>
    </row>
    <row r="267" spans="1:1" x14ac:dyDescent="0.3">
      <c r="A267" s="3">
        <v>2.36</v>
      </c>
    </row>
    <row r="268" spans="1:1" x14ac:dyDescent="0.3">
      <c r="A268" s="3">
        <v>7.36</v>
      </c>
    </row>
    <row r="269" spans="1:1" x14ac:dyDescent="0.3">
      <c r="A269" s="3">
        <v>8.5500000000000007</v>
      </c>
    </row>
    <row r="270" spans="1:1" x14ac:dyDescent="0.3">
      <c r="A270" s="3">
        <v>8.1300000000000008</v>
      </c>
    </row>
    <row r="271" spans="1:1" x14ac:dyDescent="0.3">
      <c r="A271" s="3">
        <v>3.3</v>
      </c>
    </row>
    <row r="272" spans="1:1" x14ac:dyDescent="0.3">
      <c r="A272" s="3">
        <v>1.77</v>
      </c>
    </row>
    <row r="273" spans="1:1" x14ac:dyDescent="0.3">
      <c r="A273" s="3">
        <v>2.09</v>
      </c>
    </row>
    <row r="274" spans="1:1" x14ac:dyDescent="0.3">
      <c r="A274" s="3">
        <v>7.36</v>
      </c>
    </row>
    <row r="275" spans="1:1" x14ac:dyDescent="0.3">
      <c r="A275" s="3">
        <v>6.25</v>
      </c>
    </row>
    <row r="276" spans="1:1" x14ac:dyDescent="0.3">
      <c r="A276" s="3">
        <v>1.75</v>
      </c>
    </row>
    <row r="277" spans="1:1" x14ac:dyDescent="0.3">
      <c r="A277" s="3">
        <v>4.97</v>
      </c>
    </row>
    <row r="278" spans="1:1" x14ac:dyDescent="0.3">
      <c r="A278" s="3">
        <v>9.3000000000000007</v>
      </c>
    </row>
    <row r="279" spans="1:1" x14ac:dyDescent="0.3">
      <c r="A279" s="3">
        <v>8.9</v>
      </c>
    </row>
    <row r="280" spans="1:1" x14ac:dyDescent="0.3">
      <c r="A280" s="3">
        <v>3.88</v>
      </c>
    </row>
    <row r="281" spans="1:1" x14ac:dyDescent="0.3">
      <c r="A281" s="3">
        <v>5.9</v>
      </c>
    </row>
    <row r="282" spans="1:1" x14ac:dyDescent="0.3">
      <c r="A282" s="3">
        <v>1.53</v>
      </c>
    </row>
    <row r="283" spans="1:1" x14ac:dyDescent="0.3">
      <c r="A283" s="3">
        <v>6.5</v>
      </c>
    </row>
    <row r="284" spans="1:1" x14ac:dyDescent="0.3">
      <c r="A284" s="3">
        <v>3.16</v>
      </c>
    </row>
    <row r="285" spans="1:1" x14ac:dyDescent="0.3">
      <c r="A285" s="3">
        <v>8.25</v>
      </c>
    </row>
    <row r="286" spans="1:1" x14ac:dyDescent="0.3">
      <c r="A286" s="3">
        <v>5.41</v>
      </c>
    </row>
    <row r="287" spans="1:1" x14ac:dyDescent="0.3">
      <c r="A287" s="3">
        <v>5.85</v>
      </c>
    </row>
    <row r="288" spans="1:1" x14ac:dyDescent="0.3">
      <c r="A288" s="3">
        <v>4.46</v>
      </c>
    </row>
    <row r="289" spans="1:1" x14ac:dyDescent="0.3">
      <c r="A289" s="3">
        <v>5.22</v>
      </c>
    </row>
    <row r="290" spans="1:1" x14ac:dyDescent="0.3">
      <c r="A290" s="3">
        <v>1.99</v>
      </c>
    </row>
    <row r="291" spans="1:1" x14ac:dyDescent="0.3">
      <c r="A291" s="3">
        <v>6.85</v>
      </c>
    </row>
    <row r="292" spans="1:1" x14ac:dyDescent="0.3">
      <c r="A292" s="3">
        <v>3.32</v>
      </c>
    </row>
    <row r="293" spans="1:1" x14ac:dyDescent="0.3">
      <c r="A293" s="3">
        <v>5.68</v>
      </c>
    </row>
    <row r="294" spans="1:1" x14ac:dyDescent="0.3">
      <c r="A294" s="3">
        <v>6.08</v>
      </c>
    </row>
    <row r="295" spans="1:1" x14ac:dyDescent="0.3">
      <c r="A295" s="3">
        <v>4.66</v>
      </c>
    </row>
    <row r="296" spans="1:1" x14ac:dyDescent="0.3">
      <c r="A296" s="3">
        <v>8.6999999999999993</v>
      </c>
    </row>
    <row r="297" spans="1:1" x14ac:dyDescent="0.3">
      <c r="A297" s="3">
        <v>2.46</v>
      </c>
    </row>
    <row r="298" spans="1:1" x14ac:dyDescent="0.3">
      <c r="A298" s="3">
        <v>7.97</v>
      </c>
    </row>
    <row r="299" spans="1:1" x14ac:dyDescent="0.3">
      <c r="A299" s="3">
        <v>9.41</v>
      </c>
    </row>
    <row r="300" spans="1:1" x14ac:dyDescent="0.3">
      <c r="A300" s="3">
        <v>2.68</v>
      </c>
    </row>
    <row r="301" spans="1:1" x14ac:dyDescent="0.3">
      <c r="A301" s="3">
        <v>7.32</v>
      </c>
    </row>
    <row r="302" spans="1:1" x14ac:dyDescent="0.3">
      <c r="A302" s="3">
        <v>4.68</v>
      </c>
    </row>
    <row r="303" spans="1:1" x14ac:dyDescent="0.3">
      <c r="A303" s="3">
        <v>5.17</v>
      </c>
    </row>
    <row r="304" spans="1:1" x14ac:dyDescent="0.3">
      <c r="A304" s="3">
        <v>6.2</v>
      </c>
    </row>
    <row r="305" spans="1:1" x14ac:dyDescent="0.3">
      <c r="A305" s="3">
        <v>2.69</v>
      </c>
    </row>
    <row r="306" spans="1:1" x14ac:dyDescent="0.3">
      <c r="A306" s="3">
        <v>8.9</v>
      </c>
    </row>
    <row r="307" spans="1:1" x14ac:dyDescent="0.3">
      <c r="A307" s="3">
        <v>3.79</v>
      </c>
    </row>
    <row r="308" spans="1:1" x14ac:dyDescent="0.3">
      <c r="A308" s="3">
        <v>4.79</v>
      </c>
    </row>
    <row r="309" spans="1:1" x14ac:dyDescent="0.3">
      <c r="A309" s="3">
        <v>6.37</v>
      </c>
    </row>
    <row r="310" spans="1:1" x14ac:dyDescent="0.3">
      <c r="A310" s="3">
        <v>2.65</v>
      </c>
    </row>
    <row r="311" spans="1:1" x14ac:dyDescent="0.3">
      <c r="A311" s="3">
        <v>1.81</v>
      </c>
    </row>
    <row r="312" spans="1:1" x14ac:dyDescent="0.3">
      <c r="A312" s="3">
        <v>7.47</v>
      </c>
    </row>
    <row r="313" spans="1:1" x14ac:dyDescent="0.3">
      <c r="A313" s="3">
        <v>4.2</v>
      </c>
    </row>
    <row r="314" spans="1:1" x14ac:dyDescent="0.3">
      <c r="A314" s="3">
        <v>5.43</v>
      </c>
    </row>
    <row r="315" spans="1:1" x14ac:dyDescent="0.3">
      <c r="A315" s="3">
        <v>3.32</v>
      </c>
    </row>
    <row r="316" spans="1:1" x14ac:dyDescent="0.3">
      <c r="A316" s="3">
        <v>8.11</v>
      </c>
    </row>
    <row r="317" spans="1:1" x14ac:dyDescent="0.3">
      <c r="A317" s="3">
        <v>6.66</v>
      </c>
    </row>
    <row r="318" spans="1:1" x14ac:dyDescent="0.3">
      <c r="A318" s="3">
        <v>8.09</v>
      </c>
    </row>
    <row r="319" spans="1:1" x14ac:dyDescent="0.3">
      <c r="A319" s="3">
        <v>8.44</v>
      </c>
    </row>
    <row r="320" spans="1:1" x14ac:dyDescent="0.3">
      <c r="A320" s="3">
        <v>2.02</v>
      </c>
    </row>
    <row r="321" spans="1:1" x14ac:dyDescent="0.3">
      <c r="A321" s="3">
        <v>7.74</v>
      </c>
    </row>
    <row r="322" spans="1:1" x14ac:dyDescent="0.3">
      <c r="A322" s="3">
        <v>2.89</v>
      </c>
    </row>
    <row r="323" spans="1:1" x14ac:dyDescent="0.3">
      <c r="A323" s="3">
        <v>1.76</v>
      </c>
    </row>
    <row r="324" spans="1:1" x14ac:dyDescent="0.3">
      <c r="A324" s="3">
        <v>3.09</v>
      </c>
    </row>
    <row r="325" spans="1:1" x14ac:dyDescent="0.3">
      <c r="A325" s="3">
        <v>4.68</v>
      </c>
    </row>
    <row r="326" spans="1:1" x14ac:dyDescent="0.3">
      <c r="A326" s="3">
        <v>4.4800000000000004</v>
      </c>
    </row>
    <row r="327" spans="1:1" x14ac:dyDescent="0.3">
      <c r="A327" s="3">
        <v>5.3</v>
      </c>
    </row>
    <row r="328" spans="1:1" x14ac:dyDescent="0.3">
      <c r="A328" s="3">
        <v>8.1999999999999993</v>
      </c>
    </row>
    <row r="329" spans="1:1" x14ac:dyDescent="0.3">
      <c r="A329" s="3">
        <v>2.2200000000000002</v>
      </c>
    </row>
    <row r="330" spans="1:1" x14ac:dyDescent="0.3">
      <c r="A330" s="3">
        <v>8.33</v>
      </c>
    </row>
    <row r="331" spans="1:1" x14ac:dyDescent="0.3">
      <c r="A331" s="3">
        <v>3.3</v>
      </c>
    </row>
    <row r="332" spans="1:1" x14ac:dyDescent="0.3">
      <c r="A332" s="3">
        <v>5.61</v>
      </c>
    </row>
    <row r="333" spans="1:1" x14ac:dyDescent="0.3">
      <c r="A333" s="3">
        <v>2.56</v>
      </c>
    </row>
    <row r="334" spans="1:1" x14ac:dyDescent="0.3">
      <c r="A334" s="3">
        <v>3.29</v>
      </c>
    </row>
    <row r="335" spans="1:1" x14ac:dyDescent="0.3">
      <c r="A335" s="3">
        <v>9.24</v>
      </c>
    </row>
    <row r="336" spans="1:1" x14ac:dyDescent="0.3">
      <c r="A336" s="3">
        <v>4.51</v>
      </c>
    </row>
    <row r="337" spans="1:1" x14ac:dyDescent="0.3">
      <c r="A337" s="3">
        <v>5.23</v>
      </c>
    </row>
    <row r="338" spans="1:1" x14ac:dyDescent="0.3">
      <c r="A338" s="3">
        <v>4.68</v>
      </c>
    </row>
    <row r="339" spans="1:1" x14ac:dyDescent="0.3">
      <c r="A339" s="3">
        <v>9.23</v>
      </c>
    </row>
    <row r="340" spans="1:1" x14ac:dyDescent="0.3">
      <c r="A340" s="3">
        <v>6.37</v>
      </c>
    </row>
    <row r="341" spans="1:1" x14ac:dyDescent="0.3">
      <c r="A341" s="3">
        <v>2.0099999999999998</v>
      </c>
    </row>
    <row r="342" spans="1:1" x14ac:dyDescent="0.3">
      <c r="A342" s="3">
        <v>3.72</v>
      </c>
    </row>
    <row r="343" spans="1:1" x14ac:dyDescent="0.3">
      <c r="A343" s="3">
        <v>3.89</v>
      </c>
    </row>
    <row r="344" spans="1:1" x14ac:dyDescent="0.3">
      <c r="A344" s="3">
        <v>8.6999999999999993</v>
      </c>
    </row>
    <row r="345" spans="1:1" x14ac:dyDescent="0.3">
      <c r="A345" s="3">
        <v>6.95</v>
      </c>
    </row>
    <row r="346" spans="1:1" x14ac:dyDescent="0.3">
      <c r="A346" s="3">
        <v>9.48</v>
      </c>
    </row>
    <row r="347" spans="1:1" x14ac:dyDescent="0.3">
      <c r="A347" s="3">
        <v>4.6100000000000003</v>
      </c>
    </row>
    <row r="348" spans="1:1" x14ac:dyDescent="0.3">
      <c r="A348" s="3">
        <v>8.0299999999999994</v>
      </c>
    </row>
    <row r="349" spans="1:1" x14ac:dyDescent="0.3">
      <c r="A349" s="3">
        <v>6.99</v>
      </c>
    </row>
    <row r="350" spans="1:1" x14ac:dyDescent="0.3">
      <c r="A350" s="3">
        <v>9.0299999999999994</v>
      </c>
    </row>
    <row r="351" spans="1:1" x14ac:dyDescent="0.3">
      <c r="A351" s="3">
        <v>2.86</v>
      </c>
    </row>
    <row r="352" spans="1:1" x14ac:dyDescent="0.3">
      <c r="A352" s="3">
        <v>3.85</v>
      </c>
    </row>
    <row r="353" spans="1:1" x14ac:dyDescent="0.3">
      <c r="A353" s="3">
        <v>7.3</v>
      </c>
    </row>
    <row r="354" spans="1:1" x14ac:dyDescent="0.3">
      <c r="A354" s="3">
        <v>9.08</v>
      </c>
    </row>
    <row r="355" spans="1:1" x14ac:dyDescent="0.3">
      <c r="A355" s="3">
        <v>4.34</v>
      </c>
    </row>
    <row r="356" spans="1:1" x14ac:dyDescent="0.3">
      <c r="A356" s="3">
        <v>7.8</v>
      </c>
    </row>
    <row r="357" spans="1:1" x14ac:dyDescent="0.3">
      <c r="A357" s="3">
        <v>3.85</v>
      </c>
    </row>
    <row r="358" spans="1:1" x14ac:dyDescent="0.3">
      <c r="A358" s="3">
        <v>6.58</v>
      </c>
    </row>
    <row r="359" spans="1:1" x14ac:dyDescent="0.3">
      <c r="A359" s="3">
        <v>8.6199999999999992</v>
      </c>
    </row>
    <row r="360" spans="1:1" x14ac:dyDescent="0.3">
      <c r="A360" s="3">
        <v>4.55</v>
      </c>
    </row>
    <row r="361" spans="1:1" x14ac:dyDescent="0.3">
      <c r="A361" s="3">
        <v>8.33</v>
      </c>
    </row>
    <row r="362" spans="1:1" x14ac:dyDescent="0.3">
      <c r="A362" s="3">
        <v>9.4</v>
      </c>
    </row>
    <row r="363" spans="1:1" x14ac:dyDescent="0.3">
      <c r="A363" s="3">
        <v>7.23</v>
      </c>
    </row>
    <row r="364" spans="1:1" x14ac:dyDescent="0.3">
      <c r="A364" s="3">
        <v>9.39</v>
      </c>
    </row>
    <row r="365" spans="1:1" x14ac:dyDescent="0.3">
      <c r="A365" s="3">
        <v>5.12</v>
      </c>
    </row>
    <row r="366" spans="1:1" x14ac:dyDescent="0.3">
      <c r="A366" s="3">
        <v>6.11</v>
      </c>
    </row>
    <row r="367" spans="1:1" x14ac:dyDescent="0.3">
      <c r="A367" s="3">
        <v>7.74</v>
      </c>
    </row>
    <row r="368" spans="1:1" x14ac:dyDescent="0.3">
      <c r="A368" s="3">
        <v>4.9400000000000004</v>
      </c>
    </row>
    <row r="369" spans="1:1" x14ac:dyDescent="0.3">
      <c r="A369" s="3">
        <v>1.8</v>
      </c>
    </row>
    <row r="370" spans="1:1" x14ac:dyDescent="0.3">
      <c r="A370" s="3">
        <v>8.64</v>
      </c>
    </row>
    <row r="371" spans="1:1" x14ac:dyDescent="0.3">
      <c r="A371" s="3">
        <v>1.53</v>
      </c>
    </row>
    <row r="372" spans="1:1" x14ac:dyDescent="0.3">
      <c r="A372" s="3">
        <v>8.52</v>
      </c>
    </row>
    <row r="373" spans="1:1" x14ac:dyDescent="0.3">
      <c r="A373" s="3">
        <v>5.53</v>
      </c>
    </row>
    <row r="374" spans="1:1" x14ac:dyDescent="0.3">
      <c r="A374" s="3">
        <v>1.87</v>
      </c>
    </row>
    <row r="375" spans="1:1" x14ac:dyDescent="0.3">
      <c r="A375" s="3">
        <v>6.27</v>
      </c>
    </row>
    <row r="376" spans="1:1" x14ac:dyDescent="0.3">
      <c r="A376" s="3">
        <v>9.4600000000000009</v>
      </c>
    </row>
    <row r="377" spans="1:1" x14ac:dyDescent="0.3">
      <c r="A377" s="3">
        <v>7.5</v>
      </c>
    </row>
    <row r="378" spans="1:1" x14ac:dyDescent="0.3">
      <c r="A378" s="3">
        <v>4.7300000000000004</v>
      </c>
    </row>
    <row r="379" spans="1:1" x14ac:dyDescent="0.3">
      <c r="A379" s="3">
        <v>3.19</v>
      </c>
    </row>
    <row r="380" spans="1:1" x14ac:dyDescent="0.3">
      <c r="A380" s="3">
        <v>2.4900000000000002</v>
      </c>
    </row>
    <row r="381" spans="1:1" x14ac:dyDescent="0.3">
      <c r="A381" s="3">
        <v>4.5</v>
      </c>
    </row>
    <row r="382" spans="1:1" x14ac:dyDescent="0.3">
      <c r="A382" s="3">
        <v>6.49</v>
      </c>
    </row>
    <row r="383" spans="1:1" x14ac:dyDescent="0.3">
      <c r="A383" s="3">
        <v>6.73</v>
      </c>
    </row>
    <row r="384" spans="1:1" x14ac:dyDescent="0.3">
      <c r="A384" s="3">
        <v>4.83</v>
      </c>
    </row>
    <row r="385" spans="1:1" x14ac:dyDescent="0.3">
      <c r="A385" s="3">
        <v>5.3</v>
      </c>
    </row>
    <row r="386" spans="1:1" x14ac:dyDescent="0.3">
      <c r="A386" s="3">
        <v>6.54</v>
      </c>
    </row>
    <row r="387" spans="1:1" x14ac:dyDescent="0.3">
      <c r="A387" s="3">
        <v>6.8</v>
      </c>
    </row>
    <row r="388" spans="1:1" x14ac:dyDescent="0.3">
      <c r="A388" s="3">
        <v>2.6</v>
      </c>
    </row>
    <row r="389" spans="1:1" x14ac:dyDescent="0.3">
      <c r="A389" s="3">
        <v>2.44</v>
      </c>
    </row>
    <row r="390" spans="1:1" x14ac:dyDescent="0.3">
      <c r="A390" s="3">
        <v>3.09</v>
      </c>
    </row>
    <row r="391" spans="1:1" x14ac:dyDescent="0.3">
      <c r="A391" s="3">
        <v>5.69</v>
      </c>
    </row>
    <row r="392" spans="1:1" x14ac:dyDescent="0.3">
      <c r="A392" s="3">
        <v>3.86</v>
      </c>
    </row>
    <row r="393" spans="1:1" x14ac:dyDescent="0.3">
      <c r="A393" s="3">
        <v>3.16</v>
      </c>
    </row>
    <row r="394" spans="1:1" x14ac:dyDescent="0.3">
      <c r="A394" s="3">
        <v>1.6</v>
      </c>
    </row>
    <row r="395" spans="1:1" x14ac:dyDescent="0.3">
      <c r="A395" s="3">
        <v>6.09</v>
      </c>
    </row>
    <row r="396" spans="1:1" x14ac:dyDescent="0.3">
      <c r="A396" s="3">
        <v>5.59</v>
      </c>
    </row>
    <row r="397" spans="1:1" x14ac:dyDescent="0.3">
      <c r="A397" s="3">
        <v>3.55</v>
      </c>
    </row>
    <row r="398" spans="1:1" x14ac:dyDescent="0.3">
      <c r="A398" s="3">
        <v>5.21</v>
      </c>
    </row>
    <row r="399" spans="1:1" x14ac:dyDescent="0.3">
      <c r="A399" s="3">
        <v>1.82</v>
      </c>
    </row>
    <row r="400" spans="1:1" x14ac:dyDescent="0.3">
      <c r="A400" s="3">
        <v>4</v>
      </c>
    </row>
    <row r="401" spans="1:1" x14ac:dyDescent="0.3">
      <c r="A401" s="3">
        <v>7.57</v>
      </c>
    </row>
    <row r="402" spans="1:1" x14ac:dyDescent="0.3">
      <c r="A402" s="3">
        <v>6.81</v>
      </c>
    </row>
  </sheetData>
  <sortState xmlns:xlrd2="http://schemas.microsoft.com/office/spreadsheetml/2017/richdata2" ref="A2:C8">
    <sortCondition descending="1" ref="C1:C8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Used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Inamdar</dc:creator>
  <cp:lastModifiedBy>Ved Inamdar</cp:lastModifiedBy>
  <dcterms:created xsi:type="dcterms:W3CDTF">2025-08-17T15:24:12Z</dcterms:created>
  <dcterms:modified xsi:type="dcterms:W3CDTF">2025-08-17T18:40:06Z</dcterms:modified>
</cp:coreProperties>
</file>