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Intershala\Project\SM analysis\"/>
    </mc:Choice>
  </mc:AlternateContent>
  <xr:revisionPtr revIDLastSave="0" documentId="13_ncr:1_{E61EE788-FA13-432C-819C-7C4E3A3EFA8F}" xr6:coauthVersionLast="47" xr6:coauthVersionMax="47" xr10:uidLastSave="{00000000-0000-0000-0000-000000000000}"/>
  <bookViews>
    <workbookView xWindow="-108" yWindow="-108" windowWidth="23256" windowHeight="13176" firstSheet="1" activeTab="5" xr2:uid="{60013453-6B77-44A0-8C0E-260B69A91B42}"/>
  </bookViews>
  <sheets>
    <sheet name="Data Used -1" sheetId="1" r:id="rId1"/>
    <sheet name="Data Used- 2" sheetId="4" r:id="rId2"/>
    <sheet name="Data Used - 3" sheetId="6" r:id="rId3"/>
    <sheet name="Task 5.1.1" sheetId="2" r:id="rId4"/>
    <sheet name="Task - Upliftment" sheetId="5" r:id="rId5"/>
    <sheet name="Task - ROI" sheetId="7" r:id="rId6"/>
    <sheet name="Followers Growth" sheetId="8" r:id="rId7"/>
  </sheets>
  <definedNames>
    <definedName name="_xlnm._FilterDatabase" localSheetId="0" hidden="1">'Data Used -1'!$M$1:$M$301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12" i="2"/>
  <c r="D11" i="2"/>
  <c r="D10" i="2"/>
  <c r="D9" i="2"/>
  <c r="C12" i="2"/>
  <c r="C11" i="2"/>
  <c r="C10" i="2"/>
  <c r="C9" i="2"/>
  <c r="B9" i="2"/>
  <c r="B2" i="2"/>
  <c r="B10" i="2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" i="6"/>
  <c r="B5" i="8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" i="6"/>
  <c r="C4" i="5" s="1"/>
  <c r="I3" i="6"/>
  <c r="I4" i="6"/>
  <c r="I5" i="6"/>
  <c r="I6" i="6"/>
  <c r="I7" i="6"/>
  <c r="C3" i="5" s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" i="6"/>
  <c r="B3" i="8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" i="6"/>
  <c r="B2" i="8" s="1"/>
  <c r="B11" i="2"/>
  <c r="B12" i="2"/>
  <c r="B3" i="2"/>
  <c r="B4" i="2"/>
  <c r="B5" i="2"/>
  <c r="C3" i="2"/>
  <c r="C4" i="2"/>
  <c r="C5" i="2"/>
  <c r="D3" i="2"/>
  <c r="D4" i="2"/>
  <c r="D5" i="2"/>
  <c r="D2" i="2"/>
  <c r="C2" i="2"/>
  <c r="B4" i="5" l="1"/>
  <c r="C2" i="8"/>
  <c r="B3" i="5"/>
  <c r="D3" i="5" s="1"/>
  <c r="C3" i="8"/>
  <c r="B5" i="5"/>
  <c r="C4" i="8"/>
  <c r="C2" i="7"/>
  <c r="C5" i="8"/>
  <c r="B2" i="5"/>
  <c r="C3" i="7"/>
  <c r="D2" i="8"/>
  <c r="C4" i="7"/>
  <c r="D3" i="8"/>
  <c r="C5" i="7"/>
  <c r="D4" i="8"/>
  <c r="D5" i="8"/>
  <c r="B4" i="8"/>
  <c r="C5" i="5"/>
  <c r="D4" i="5"/>
  <c r="C2" i="5"/>
  <c r="E5" i="8" l="1"/>
  <c r="E4" i="8"/>
  <c r="D2" i="5"/>
  <c r="E3" i="8"/>
  <c r="D5" i="5"/>
  <c r="E2" i="8"/>
</calcChain>
</file>

<file path=xl/sharedStrings.xml><?xml version="1.0" encoding="utf-8"?>
<sst xmlns="http://schemas.openxmlformats.org/spreadsheetml/2006/main" count="2561" uniqueCount="633">
  <si>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</si>
  <si>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</si>
  <si>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</si>
  <si>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</si>
  <si>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</si>
  <si>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</si>
  <si>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</si>
  <si>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</si>
  <si>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</si>
  <si>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</si>
  <si>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</si>
  <si>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</si>
  <si>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</si>
  <si>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</si>
  <si>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</si>
  <si>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</si>
  <si>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</si>
  <si>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</si>
  <si>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#LiveForNow,#AnytimeIsPepsiTime</t>
  </si>
  <si>
    <t>SummerSplash</t>
  </si>
  <si>
    <t>P002</t>
  </si>
  <si>
    <t>2025-04-03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</si>
  <si>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</si>
  <si>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</si>
  <si>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</si>
  <si>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</si>
  <si>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</si>
  <si>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</si>
  <si>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</si>
  <si>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</si>
  <si>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</si>
  <si>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</si>
  <si>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</si>
  <si>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</si>
  <si>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</si>
  <si>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</si>
  <si>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</si>
  <si>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</si>
  <si>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</si>
  <si>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</si>
  <si>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</si>
  <si>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</si>
  <si>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</si>
  <si>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</si>
  <si>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</si>
  <si>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</si>
  <si>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</si>
  <si>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</si>
  <si>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</si>
  <si>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</si>
  <si>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</si>
  <si>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</si>
  <si>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</si>
  <si>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</si>
  <si>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</si>
  <si>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</si>
  <si>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</si>
  <si>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</si>
  <si>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</si>
  <si>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</si>
  <si>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</si>
  <si>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</si>
  <si>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</si>
  <si>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</si>
  <si>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</si>
  <si>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</si>
  <si>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</si>
  <si>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</si>
  <si>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</si>
  <si>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</si>
  <si>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</si>
  <si>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</si>
  <si>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</si>
  <si>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</si>
  <si>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</si>
  <si>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</si>
  <si>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</si>
  <si>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</si>
  <si>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</si>
  <si>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</si>
  <si>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</si>
  <si>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</si>
  <si>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</si>
  <si>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</si>
  <si>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</si>
  <si>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</si>
  <si>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</si>
  <si>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</si>
  <si>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</si>
  <si>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</si>
  <si>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</si>
  <si>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</si>
  <si>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</si>
  <si>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</si>
  <si>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</si>
  <si>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#PepsiCoRefresh,#AnytimeIsPepsiTime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</si>
  <si>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</si>
  <si>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</si>
  <si>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</si>
  <si>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</si>
  <si>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</si>
  <si>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</si>
  <si>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</si>
  <si>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</si>
  <si>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</si>
  <si>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</si>
  <si>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</si>
  <si>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</si>
  <si>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</si>
  <si>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</si>
  <si>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</si>
  <si>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</si>
  <si>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</si>
  <si>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</si>
  <si>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</si>
  <si>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</si>
  <si>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</si>
  <si>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</si>
  <si>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</si>
  <si>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</si>
  <si>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</si>
  <si>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</si>
  <si>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</si>
  <si>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</si>
  <si>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</si>
  <si>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</si>
  <si>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</si>
  <si>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</si>
  <si>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</si>
  <si>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</si>
  <si>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</si>
  <si>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</si>
  <si>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</si>
  <si>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</si>
  <si>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</si>
  <si>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</si>
  <si>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</si>
  <si>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</si>
  <si>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</si>
  <si>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</si>
  <si>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</si>
  <si>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</si>
  <si>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</si>
  <si>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</si>
  <si>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</si>
  <si>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</si>
  <si>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</si>
  <si>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</si>
  <si>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</si>
  <si>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</si>
  <si>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</si>
  <si>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</si>
  <si>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</si>
  <si>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</si>
  <si>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</si>
  <si>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</si>
  <si>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</si>
  <si>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</si>
  <si>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</si>
  <si>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</si>
  <si>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#ThirstyForMore,#BetterWithPepsi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</si>
  <si>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</si>
  <si>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</si>
  <si>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</si>
  <si>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</si>
  <si>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</si>
  <si>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</si>
  <si>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</si>
  <si>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</si>
  <si>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</si>
  <si>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</si>
  <si>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</si>
  <si>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</si>
  <si>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</si>
  <si>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</si>
  <si>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#ThirstyForMore,#PepsiCoRefresh,#AnytimeIsPepsiTime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</si>
  <si>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</si>
  <si>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</si>
  <si>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</si>
  <si>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</si>
  <si>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</si>
  <si>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</si>
  <si>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</si>
  <si>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</si>
  <si>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</si>
  <si>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</si>
  <si>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</si>
  <si>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</si>
  <si>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</si>
  <si>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</si>
  <si>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</si>
  <si>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</si>
  <si>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</si>
  <si>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</si>
  <si>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</si>
  <si>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</si>
  <si>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</si>
  <si>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</si>
  <si>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</si>
  <si>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</si>
  <si>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</si>
  <si>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</si>
  <si>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</si>
  <si>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</si>
  <si>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</si>
  <si>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</si>
  <si>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</si>
  <si>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</si>
  <si>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</si>
  <si>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</si>
  <si>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</si>
  <si>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</si>
  <si>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</si>
  <si>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</si>
  <si>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</si>
  <si>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</si>
  <si>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#LiveForNow,#PepsiCoRefresh,#AnytimeIsPepsiTime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</si>
  <si>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</si>
  <si>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</si>
  <si>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</si>
  <si>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</si>
  <si>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</si>
  <si>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</si>
  <si>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</si>
  <si>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</si>
  <si>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</si>
  <si>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</si>
  <si>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</si>
  <si>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</si>
  <si>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</si>
  <si>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</si>
  <si>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</si>
  <si>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</si>
  <si>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</si>
  <si>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</si>
  <si>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</si>
  <si>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</si>
  <si>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</si>
  <si>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</si>
  <si>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</si>
  <si>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</si>
  <si>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</si>
  <si>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</si>
  <si>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</si>
  <si>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</si>
  <si>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</si>
  <si>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</si>
  <si>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</si>
  <si>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</si>
  <si>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</si>
  <si>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</si>
  <si>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</si>
  <si>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</si>
  <si>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</si>
  <si>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</si>
  <si>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</si>
  <si>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</si>
  <si>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</si>
  <si>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</si>
  <si>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</si>
  <si>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</si>
  <si>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</si>
  <si>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</si>
  <si>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</si>
  <si>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</si>
  <si>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</si>
  <si>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</si>
  <si>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</si>
  <si>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</si>
  <si>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</si>
  <si>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</si>
  <si>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</si>
  <si>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</si>
  <si>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</si>
  <si>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</si>
  <si>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</si>
  <si>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</si>
  <si>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</si>
  <si>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</si>
  <si>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</si>
  <si>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</si>
  <si>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</si>
  <si>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</si>
  <si>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</si>
  <si>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</si>
  <si>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</si>
  <si>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</si>
  <si>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</si>
  <si>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</si>
  <si>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</si>
  <si>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</si>
  <si>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</si>
  <si>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</si>
  <si>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</si>
  <si>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</si>
  <si>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</si>
  <si>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</si>
  <si>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</si>
  <si>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</si>
  <si>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</si>
  <si>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</si>
  <si>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</si>
  <si>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</si>
  <si>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</si>
  <si>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</si>
  <si>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</si>
  <si>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</si>
  <si>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</si>
  <si>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</si>
  <si>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</si>
  <si>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</si>
  <si>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</si>
  <si>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</si>
  <si>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</si>
  <si>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</si>
  <si>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</si>
  <si>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#ThirstyForMore,#SmoothLikeNitroPepsi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</si>
  <si>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</si>
  <si>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</si>
  <si>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</si>
  <si>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</si>
  <si>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</si>
  <si>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</si>
  <si>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</si>
  <si>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</si>
  <si>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#ThirstyForMore,#AnytimeIsPepsiTime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</si>
  <si>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</si>
  <si>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</si>
  <si>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</si>
  <si>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</si>
  <si>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</si>
  <si>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</si>
  <si>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</si>
  <si>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</si>
  <si>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</si>
  <si>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</si>
  <si>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</si>
  <si>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</si>
  <si>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</si>
  <si>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</si>
  <si>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</si>
  <si>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</si>
  <si>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</si>
  <si>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</si>
  <si>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</si>
  <si>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</si>
  <si>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</si>
  <si>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</si>
  <si>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</si>
  <si>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</si>
  <si>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</si>
  <si>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</si>
  <si>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</si>
  <si>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</si>
  <si>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</si>
  <si>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</si>
  <si>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</si>
  <si>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</si>
  <si>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</si>
  <si>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</si>
  <si>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</si>
  <si>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</si>
  <si>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</si>
  <si>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</si>
  <si>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</si>
  <si>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</si>
  <si>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</si>
  <si>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</si>
  <si>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</si>
  <si>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</si>
  <si>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</si>
  <si>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</si>
  <si>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</si>
  <si>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</si>
  <si>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</si>
  <si>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</si>
  <si>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</si>
  <si>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</si>
  <si>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</si>
  <si>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</si>
  <si>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</si>
  <si>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</si>
  <si>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</si>
  <si>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</si>
  <si>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</si>
  <si>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</si>
  <si>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</si>
  <si>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</si>
  <si>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</si>
  <si>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</si>
  <si>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</si>
  <si>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</si>
  <si>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</si>
  <si>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</si>
  <si>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</si>
  <si>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</si>
  <si>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</si>
  <si>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</si>
  <si>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</si>
  <si>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</si>
  <si>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</si>
  <si>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</si>
  <si>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</si>
  <si>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</si>
  <si>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</si>
  <si>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</si>
  <si>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</si>
  <si>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</si>
  <si>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</si>
  <si>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</si>
  <si>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</si>
  <si>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</si>
  <si>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</si>
  <si>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</si>
  <si>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</si>
  <si>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</si>
  <si>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</si>
  <si>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</si>
  <si>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</si>
  <si>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</si>
  <si>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</si>
  <si>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#PepsiCoRefresh,#SmoothLikeNitroPepsi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</si>
  <si>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</si>
  <si>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</si>
  <si>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</si>
  <si>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</si>
  <si>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</si>
  <si>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</si>
  <si>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</si>
  <si>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</si>
  <si>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</si>
  <si>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</si>
  <si>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</si>
  <si>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</si>
  <si>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</si>
  <si>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</si>
  <si>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</si>
  <si>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</si>
  <si>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</si>
  <si>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</si>
  <si>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</si>
  <si>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</si>
  <si>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</si>
  <si>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</si>
  <si>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</si>
  <si>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#LiveForNow,#SmoothLikeNitroPepsi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</si>
  <si>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</si>
  <si>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</si>
  <si>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</si>
  <si>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</si>
  <si>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</si>
  <si>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</si>
  <si>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</si>
  <si>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</si>
  <si>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</si>
  <si>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</si>
  <si>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</si>
  <si>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</si>
  <si>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</si>
  <si>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</si>
  <si>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</si>
  <si>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</si>
  <si>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</si>
  <si>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</si>
  <si>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</si>
  <si>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</si>
  <si>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#LiveForNow,#AnytimeIsPepsiTime,#ThirstyForMore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</si>
  <si>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</si>
  <si>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</si>
  <si>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</si>
  <si>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</si>
  <si>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</si>
  <si>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</si>
  <si>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</si>
  <si>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</si>
  <si>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</si>
  <si>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</si>
  <si>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</si>
  <si>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</si>
  <si>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</si>
  <si>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</si>
  <si>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</si>
  <si>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</si>
  <si>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</si>
  <si>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</si>
  <si>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#LiveForNow,#ThirstyForMore,#BetterWithPepsi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</si>
  <si>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</si>
  <si>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</si>
  <si>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</si>
  <si>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</si>
  <si>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</si>
  <si>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</si>
  <si>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</si>
  <si>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</si>
  <si>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</si>
  <si>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</si>
  <si>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</si>
  <si>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</si>
  <si>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</si>
  <si>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#ThirstyForMore,#ThirstyForMore,#BetterWithPepsi</t>
  </si>
  <si>
    <t>P258</t>
  </si>
  <si>
    <t>2024-08-05</t>
  </si>
  <si>
    <t>P259</t>
  </si>
  <si>
    <t>P260</t>
  </si>
  <si>
    <t>2025-02-12</t>
  </si>
  <si>
    <t>#PepsiCoRefresh,#ThirstyForMore,#BetterWithPepsi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</si>
  <si>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</si>
  <si>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</si>
  <si>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</si>
  <si>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</si>
  <si>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</si>
  <si>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</si>
  <si>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</si>
  <si>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</si>
  <si>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</si>
  <si>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</si>
  <si>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</si>
  <si>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</si>
  <si>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</si>
  <si>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</si>
  <si>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</si>
  <si>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</si>
  <si>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</si>
  <si>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</si>
  <si>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</si>
  <si>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</si>
  <si>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</si>
  <si>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</si>
  <si>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</si>
  <si>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</si>
  <si>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</si>
  <si>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</si>
  <si>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</si>
  <si>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</si>
  <si>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</si>
  <si>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</si>
  <si>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</si>
  <si>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</si>
  <si>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</si>
  <si>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</si>
  <si>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</si>
  <si>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</si>
  <si>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</si>
  <si>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</si>
  <si>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</si>
  <si>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</si>
  <si>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</si>
  <si>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</si>
  <si>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</si>
  <si>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</si>
  <si>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</si>
  <si>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</si>
  <si>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</si>
  <si>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</si>
  <si>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</si>
  <si>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</si>
  <si>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</si>
  <si>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</si>
  <si>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</si>
  <si>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</si>
  <si>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</si>
  <si>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</si>
  <si>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</si>
  <si>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</si>
  <si>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</si>
  <si>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</si>
  <si>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</si>
  <si>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Campaign Name</t>
  </si>
  <si>
    <t>Average Likes</t>
  </si>
  <si>
    <t>Average Impression</t>
  </si>
  <si>
    <t>Average Clicks</t>
  </si>
  <si>
    <t>Sum Likes</t>
  </si>
  <si>
    <t>Sum Impression</t>
  </si>
  <si>
    <t>Sum Clicks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</si>
  <si>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</si>
  <si>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</si>
  <si>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</si>
  <si>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</si>
  <si>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</si>
  <si>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</si>
  <si>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</si>
  <si>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</si>
  <si>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</si>
  <si>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</si>
  <si>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</si>
  <si>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</si>
  <si>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</si>
  <si>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</si>
  <si>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</si>
  <si>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</si>
  <si>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</si>
  <si>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</si>
  <si>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2025-03-31</t>
  </si>
  <si>
    <t>Traffic</t>
  </si>
  <si>
    <t>Instagram,Twitter</t>
  </si>
  <si>
    <t>#BetterWithPepsi,#LiveForNow</t>
  </si>
  <si>
    <t>Engagement During Campain Period</t>
  </si>
  <si>
    <t>Engagement Rate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</si>
  <si>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</si>
  <si>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</si>
  <si>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</si>
  <si>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</si>
  <si>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</si>
  <si>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</si>
  <si>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</si>
  <si>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</si>
  <si>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</si>
  <si>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</si>
  <si>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</si>
  <si>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</si>
  <si>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</si>
  <si>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</si>
  <si>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</si>
  <si>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</si>
  <si>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</si>
  <si>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</si>
  <si>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</si>
  <si>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</si>
  <si>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</si>
  <si>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2025-04-14</t>
  </si>
  <si>
    <t>2025-04-21</t>
  </si>
  <si>
    <t>SummerSplash Flag</t>
  </si>
  <si>
    <t>DailyWellness Flag</t>
  </si>
  <si>
    <t>NewYearRefresh Flag</t>
  </si>
  <si>
    <t>Engagement Before Campain Period</t>
  </si>
  <si>
    <t>Engagement Uplift</t>
  </si>
  <si>
    <t>Campaign_Budget</t>
  </si>
  <si>
    <t>Avg_Enagaement</t>
  </si>
  <si>
    <t>ROI</t>
  </si>
  <si>
    <t>Total Followers Before campaign start</t>
  </si>
  <si>
    <t>Total New Followers</t>
  </si>
  <si>
    <t>Total Unfollows</t>
  </si>
  <si>
    <t>Growt_Rate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</si>
</sst>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0.000"/>
    <numFmt numFmtId="193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3" fillId="0" borderId="2" xfId="0" applyFont="1" applyBorder="1"/>
    <xf numFmtId="167" fontId="0" fillId="0" borderId="0" xfId="0" applyNumberFormat="1"/>
    <xf numFmtId="2" fontId="0" fillId="0" borderId="0" xfId="0" applyNumberFormat="1"/>
    <xf numFmtId="0" fontId="7" fillId="0" borderId="4" xfId="0" applyFont="1" applyBorder="1"/>
    <xf numFmtId="0" fontId="3" fillId="0" borderId="4" xfId="0" applyFont="1" applyBorder="1"/>
    <xf numFmtId="0" fontId="6" fillId="2" borderId="5" xfId="0" applyFont="1" applyFill="1" applyBorder="1"/>
    <xf numFmtId="0" fontId="6" fillId="0" borderId="5" xfId="0" applyFont="1" applyBorder="1"/>
    <xf numFmtId="2" fontId="0" fillId="2" borderId="6" xfId="0" applyNumberFormat="1" applyFont="1" applyFill="1" applyBorder="1"/>
    <xf numFmtId="167" fontId="0" fillId="2" borderId="7" xfId="0" applyNumberFormat="1" applyFont="1" applyFill="1" applyBorder="1"/>
    <xf numFmtId="2" fontId="0" fillId="0" borderId="6" xfId="0" applyNumberFormat="1" applyFont="1" applyBorder="1"/>
    <xf numFmtId="167" fontId="0" fillId="0" borderId="7" xfId="0" applyNumberFormat="1" applyFont="1" applyBorder="1"/>
    <xf numFmtId="0" fontId="8" fillId="3" borderId="4" xfId="0" applyFont="1" applyFill="1" applyBorder="1"/>
    <xf numFmtId="0" fontId="2" fillId="3" borderId="4" xfId="0" applyFont="1" applyFill="1" applyBorder="1"/>
    <xf numFmtId="0" fontId="6" fillId="0" borderId="8" xfId="0" applyFont="1" applyBorder="1"/>
    <xf numFmtId="2" fontId="0" fillId="2" borderId="3" xfId="0" applyNumberFormat="1" applyFont="1" applyFill="1" applyBorder="1"/>
    <xf numFmtId="2" fontId="0" fillId="0" borderId="3" xfId="0" applyNumberFormat="1" applyFont="1" applyBorder="1"/>
    <xf numFmtId="167" fontId="0" fillId="0" borderId="9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4" fillId="0" borderId="10" xfId="0" applyFont="1" applyFill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4" fontId="6" fillId="0" borderId="0" xfId="0" applyNumberFormat="1" applyFont="1"/>
    <xf numFmtId="14" fontId="0" fillId="0" borderId="0" xfId="0" applyNumberFormat="1"/>
    <xf numFmtId="14" fontId="4" fillId="0" borderId="1" xfId="0" applyNumberFormat="1" applyFont="1" applyBorder="1" applyAlignment="1">
      <alignment horizontal="center" vertical="top" wrapText="1"/>
    </xf>
    <xf numFmtId="14" fontId="6" fillId="0" borderId="1" xfId="0" applyNumberFormat="1" applyFont="1" applyBorder="1" applyAlignment="1">
      <alignment wrapText="1"/>
    </xf>
    <xf numFmtId="14" fontId="4" fillId="0" borderId="11" xfId="0" applyNumberFormat="1" applyFont="1" applyBorder="1" applyAlignment="1">
      <alignment horizontal="center" vertical="top"/>
    </xf>
    <xf numFmtId="0" fontId="0" fillId="0" borderId="2" xfId="0" applyBorder="1"/>
    <xf numFmtId="14" fontId="6" fillId="0" borderId="11" xfId="0" applyNumberFormat="1" applyFont="1" applyBorder="1"/>
    <xf numFmtId="2" fontId="0" fillId="0" borderId="2" xfId="0" applyNumberFormat="1" applyBorder="1"/>
    <xf numFmtId="2" fontId="4" fillId="0" borderId="11" xfId="0" applyNumberFormat="1" applyFont="1" applyBorder="1" applyAlignment="1">
      <alignment horizontal="center" vertical="top"/>
    </xf>
    <xf numFmtId="193" fontId="6" fillId="0" borderId="1" xfId="1" applyNumberFormat="1" applyFont="1" applyBorder="1" applyAlignment="1">
      <alignment wrapText="1"/>
    </xf>
    <xf numFmtId="10" fontId="0" fillId="0" borderId="2" xfId="0" applyNumberFormat="1" applyBorder="1"/>
    <xf numFmtId="14" fontId="4" fillId="0" borderId="11" xfId="0" applyNumberFormat="1" applyFont="1" applyBorder="1" applyAlignment="1">
      <alignment horizontal="center" vertical="top" wrapText="1"/>
    </xf>
    <xf numFmtId="14" fontId="6" fillId="0" borderId="11" xfId="0" applyNumberFormat="1" applyFont="1" applyBorder="1" applyAlignment="1">
      <alignment wrapText="1"/>
    </xf>
    <xf numFmtId="0" fontId="4" fillId="0" borderId="11" xfId="0" applyFont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0" fillId="0" borderId="2" xfId="0" applyFill="1" applyBorder="1"/>
    <xf numFmtId="10" fontId="0" fillId="0" borderId="0" xfId="0" applyNumberFormat="1"/>
    <xf numFmtId="0" fontId="0" fillId="0" borderId="13" xfId="0" applyFill="1" applyBorder="1"/>
    <xf numFmtId="0" fontId="3" fillId="0" borderId="2" xfId="0" applyFont="1" applyFill="1" applyBorder="1"/>
    <xf numFmtId="10" fontId="3" fillId="0" borderId="2" xfId="0" applyNumberFormat="1" applyFont="1" applyBorder="1"/>
  </cellXfs>
  <cellStyles count="2">
    <cellStyle name="Currency" xfId="1" builtinId="4"/>
    <cellStyle name="Normal" xfId="0" builtinId="0"/>
  </cellStyles>
  <dxfs count="16">
    <dxf>
      <numFmt numFmtId="167" formatCode="0.0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8</xdr:row>
      <xdr:rowOff>38100</xdr:rowOff>
    </xdr:from>
    <xdr:to>
      <xdr:col>3</xdr:col>
      <xdr:colOff>358140</xdr:colOff>
      <xdr:row>13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8DD0C4-3A58-72C2-20EE-FABCB00B81F8}"/>
            </a:ext>
          </a:extLst>
        </xdr:cNvPr>
        <xdr:cNvSpPr txBox="1"/>
      </xdr:nvSpPr>
      <xdr:spPr>
        <a:xfrm>
          <a:off x="1470660" y="1501140"/>
          <a:ext cx="21031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Formula</a:t>
          </a:r>
          <a:r>
            <a:rPr lang="en-US" sz="1100" baseline="0"/>
            <a:t> Used</a:t>
          </a:r>
        </a:p>
        <a:p>
          <a:endParaRPr lang="en-US" sz="1100" baseline="0"/>
        </a:p>
        <a:p>
          <a:r>
            <a:rPr lang="en-US" sz="1100" baseline="0"/>
            <a:t>ROI = AVG_Engagement / Budget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F1A23-9F18-4440-A350-3B9C8DEF64AE}" name="Average" displayName="Average" ref="A1:D6" totalsRowCount="1" headerRowDxfId="13" headerRowBorderDxfId="14" tableBorderDxfId="15">
  <autoFilter ref="A1:D5" xr:uid="{20DF1A23-9F18-4440-A350-3B9C8DEF64AE}"/>
  <tableColumns count="4">
    <tableColumn id="1" xr3:uid="{4651AAAA-0D0A-427C-9ACD-F7B08D882667}" name="Campaign Name" dataDxfId="7" totalsRowDxfId="6"/>
    <tableColumn id="2" xr3:uid="{F0F1D842-FE9A-4BF3-ABEA-78D8C7F40C41}" name="Average Likes" dataDxfId="5" totalsRowDxfId="4">
      <calculatedColumnFormula>AVERAGEIF('Data Used -1'!M:M,A2,'Data Used -1'!F:F)</calculatedColumnFormula>
    </tableColumn>
    <tableColumn id="3" xr3:uid="{F81C2EA7-A8DF-4058-B715-4400039D82E4}" name="Average Impression" dataDxfId="3" totalsRowDxfId="2">
      <calculatedColumnFormula>AVERAGEIF('Data Used -1'!M:M,A2,'Data Used -1'!I:I)</calculatedColumnFormula>
    </tableColumn>
    <tableColumn id="4" xr3:uid="{0167926F-C7CF-464E-BB00-D82A8704FA01}" name="Average Clicks" dataDxfId="1" totalsRowDxfId="0">
      <calculatedColumnFormula>AVERAGEIF('Data Used -1'!M:M,A2,'Data Used -1'!K:K)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B724C-1EB2-4F4A-BF10-816E6F4697C8}" name="Sum" displayName="Sum" ref="A8:D12" totalsRowShown="0" headerRowDxfId="8" headerRowBorderDxfId="11" tableBorderDxfId="12" totalsRowBorderDxfId="10">
  <autoFilter ref="A8:D12" xr:uid="{87EB724C-1EB2-4F4A-BF10-816E6F4697C8}"/>
  <tableColumns count="4">
    <tableColumn id="1" xr3:uid="{1E7F5005-1DB3-4C8B-B118-1F65A43E1C34}" name="Campaign Name"/>
    <tableColumn id="2" xr3:uid="{0C8B4724-CF55-4AB2-8A60-3E8E4534C72D}" name="Sum Likes" dataDxfId="9">
      <calculatedColumnFormula>SUMIF('Data Used -1'!M:M,A2,'Data Used -1'!F:F)</calculatedColumnFormula>
    </tableColumn>
    <tableColumn id="3" xr3:uid="{0164E57F-4078-47BB-9478-DAFE9754A167}" name="Sum Impression">
      <calculatedColumnFormula>AVERAGEIF('Data Used -1'!M:M,A9,'Data Used -1'!I:I)</calculatedColumnFormula>
    </tableColumn>
    <tableColumn id="4" xr3:uid="{782D27E0-EB86-4449-8BB2-40BBE023816A}" name="Sum Clicks">
      <calculatedColumnFormula>AVERAGEIF('Data Used -1'!M:M,A9,'Data Used -1'!K:K)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18A9-96DF-48DB-B5EE-0B54D16B6F75}">
  <sheetPr filterMode="1"/>
  <dimension ref="A1:N301"/>
  <sheetViews>
    <sheetView topLeftCell="A162" workbookViewId="0">
      <selection activeCell="F5" sqref="F5:F298"/>
    </sheetView>
  </sheetViews>
  <sheetFormatPr defaultRowHeight="14.4" x14ac:dyDescent="0.3"/>
  <cols>
    <col min="1" max="2" width="8.6640625" customWidth="1"/>
    <col min="3" max="3" width="24.6640625" customWidth="1"/>
    <col min="4" max="10" width="8.6640625" customWidth="1"/>
    <col min="11" max="11" width="15.6640625" customWidth="1"/>
    <col min="12" max="12" width="52.6640625" bestFit="1" customWidth="1"/>
    <col min="13" max="13" width="31.6640625" customWidth="1"/>
    <col min="14" max="14" width="15.88671875" bestFit="1" customWidth="1"/>
  </cols>
  <sheetData>
    <row r="1" spans="1:14" ht="28.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5" t="s">
        <v>597</v>
      </c>
    </row>
    <row r="2" spans="1:14" hidden="1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1461</v>
      </c>
      <c r="G2" s="3">
        <v>184</v>
      </c>
      <c r="H2" s="3">
        <v>344</v>
      </c>
      <c r="I2" s="3">
        <v>21915</v>
      </c>
      <c r="J2" s="3">
        <v>21675</v>
      </c>
      <c r="K2" s="3">
        <v>15</v>
      </c>
      <c r="L2" s="4" t="s">
        <v>18</v>
      </c>
      <c r="M2" s="5" t="s">
        <v>19</v>
      </c>
    </row>
    <row r="3" spans="1:14" hidden="1" x14ac:dyDescent="0.3">
      <c r="A3" s="3" t="s">
        <v>20</v>
      </c>
      <c r="B3" s="3" t="s">
        <v>14</v>
      </c>
      <c r="C3" s="3" t="s">
        <v>21</v>
      </c>
      <c r="D3" s="3" t="s">
        <v>22</v>
      </c>
      <c r="E3" s="3" t="s">
        <v>23</v>
      </c>
      <c r="F3" s="3">
        <v>4054</v>
      </c>
      <c r="G3" s="3">
        <v>389</v>
      </c>
      <c r="H3" s="3">
        <v>493</v>
      </c>
      <c r="I3" s="3">
        <v>64864</v>
      </c>
      <c r="J3" s="3">
        <v>64383</v>
      </c>
      <c r="K3" s="3">
        <v>117</v>
      </c>
      <c r="L3" s="4" t="s">
        <v>24</v>
      </c>
      <c r="M3" s="5" t="s">
        <v>25</v>
      </c>
    </row>
    <row r="4" spans="1:14" hidden="1" x14ac:dyDescent="0.3">
      <c r="A4" s="3" t="s">
        <v>26</v>
      </c>
      <c r="B4" s="3" t="s">
        <v>27</v>
      </c>
      <c r="C4" s="3" t="s">
        <v>28</v>
      </c>
      <c r="D4" s="3" t="s">
        <v>16</v>
      </c>
      <c r="E4" s="3" t="s">
        <v>29</v>
      </c>
      <c r="F4" s="3">
        <v>2795</v>
      </c>
      <c r="G4" s="3">
        <v>105</v>
      </c>
      <c r="H4" s="3">
        <v>49</v>
      </c>
      <c r="I4" s="3">
        <v>53105</v>
      </c>
      <c r="J4" s="3">
        <v>52307</v>
      </c>
      <c r="K4" s="3">
        <v>204</v>
      </c>
      <c r="L4" s="4" t="s">
        <v>30</v>
      </c>
      <c r="M4" s="5" t="s">
        <v>31</v>
      </c>
    </row>
    <row r="5" spans="1:14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>
        <v>2404</v>
      </c>
      <c r="G5" s="3">
        <v>363</v>
      </c>
      <c r="H5" s="3">
        <v>138</v>
      </c>
      <c r="I5" s="3">
        <v>19232</v>
      </c>
      <c r="J5" s="3">
        <v>18636</v>
      </c>
      <c r="K5" s="3">
        <v>128</v>
      </c>
      <c r="L5" s="4" t="s">
        <v>37</v>
      </c>
      <c r="M5" s="5" t="s">
        <v>38</v>
      </c>
    </row>
    <row r="6" spans="1:14" hidden="1" x14ac:dyDescent="0.3">
      <c r="A6" s="3" t="s">
        <v>39</v>
      </c>
      <c r="B6" s="3" t="s">
        <v>27</v>
      </c>
      <c r="C6" s="3" t="s">
        <v>40</v>
      </c>
      <c r="D6" s="3" t="s">
        <v>16</v>
      </c>
      <c r="E6" s="3" t="s">
        <v>29</v>
      </c>
      <c r="F6" s="3">
        <v>3557</v>
      </c>
      <c r="G6" s="3">
        <v>687</v>
      </c>
      <c r="H6" s="3">
        <v>424</v>
      </c>
      <c r="I6" s="3">
        <v>71140</v>
      </c>
      <c r="J6" s="3">
        <v>70701</v>
      </c>
      <c r="K6" s="3">
        <v>224</v>
      </c>
      <c r="L6" s="4" t="s">
        <v>41</v>
      </c>
      <c r="M6" s="5" t="s">
        <v>19</v>
      </c>
    </row>
    <row r="7" spans="1:14" hidden="1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>
        <v>2945</v>
      </c>
      <c r="G7" s="3">
        <v>930</v>
      </c>
      <c r="H7" s="3">
        <v>355</v>
      </c>
      <c r="I7" s="3">
        <v>23560</v>
      </c>
      <c r="J7" s="3">
        <v>23275</v>
      </c>
      <c r="K7" s="3">
        <v>256</v>
      </c>
      <c r="L7" s="4" t="s">
        <v>30</v>
      </c>
      <c r="M7" s="5" t="s">
        <v>25</v>
      </c>
    </row>
    <row r="8" spans="1:14" hidden="1" x14ac:dyDescent="0.3">
      <c r="A8" s="3" t="s">
        <v>47</v>
      </c>
      <c r="B8" s="3" t="s">
        <v>14</v>
      </c>
      <c r="C8" s="3" t="s">
        <v>48</v>
      </c>
      <c r="D8" s="3" t="s">
        <v>45</v>
      </c>
      <c r="E8" s="3" t="s">
        <v>49</v>
      </c>
      <c r="F8" s="3">
        <v>3860</v>
      </c>
      <c r="G8" s="3">
        <v>201</v>
      </c>
      <c r="H8" s="3">
        <v>279</v>
      </c>
      <c r="I8" s="3">
        <v>61760</v>
      </c>
      <c r="J8" s="3">
        <v>61660</v>
      </c>
      <c r="K8" s="3">
        <v>235</v>
      </c>
      <c r="L8" s="4" t="s">
        <v>30</v>
      </c>
      <c r="M8" s="5" t="s">
        <v>25</v>
      </c>
    </row>
    <row r="9" spans="1:14" x14ac:dyDescent="0.3">
      <c r="A9" s="3" t="s">
        <v>50</v>
      </c>
      <c r="B9" s="3" t="s">
        <v>27</v>
      </c>
      <c r="C9" s="3" t="s">
        <v>51</v>
      </c>
      <c r="D9" s="3" t="s">
        <v>52</v>
      </c>
      <c r="E9" s="3" t="s">
        <v>53</v>
      </c>
      <c r="F9" s="3">
        <v>3929</v>
      </c>
      <c r="G9" s="3">
        <v>262</v>
      </c>
      <c r="H9" s="3">
        <v>278</v>
      </c>
      <c r="I9" s="3">
        <v>43219</v>
      </c>
      <c r="J9" s="3">
        <v>42841</v>
      </c>
      <c r="K9" s="3">
        <v>39</v>
      </c>
      <c r="L9" s="4" t="s">
        <v>37</v>
      </c>
      <c r="M9" s="5" t="s">
        <v>38</v>
      </c>
    </row>
    <row r="10" spans="1:14" hidden="1" x14ac:dyDescent="0.3">
      <c r="A10" s="3" t="s">
        <v>54</v>
      </c>
      <c r="B10" s="3" t="s">
        <v>43</v>
      </c>
      <c r="C10" s="3" t="s">
        <v>55</v>
      </c>
      <c r="D10" s="3" t="s">
        <v>22</v>
      </c>
      <c r="E10" s="3" t="s">
        <v>56</v>
      </c>
      <c r="F10" s="3">
        <v>3784</v>
      </c>
      <c r="G10" s="3">
        <v>808</v>
      </c>
      <c r="H10" s="3">
        <v>404</v>
      </c>
      <c r="I10" s="3">
        <v>56760</v>
      </c>
      <c r="J10" s="3">
        <v>56343</v>
      </c>
      <c r="K10" s="3">
        <v>131</v>
      </c>
      <c r="L10" s="4" t="s">
        <v>30</v>
      </c>
      <c r="M10" s="5" t="s">
        <v>25</v>
      </c>
    </row>
    <row r="11" spans="1:14" hidden="1" x14ac:dyDescent="0.3">
      <c r="A11" s="3" t="s">
        <v>57</v>
      </c>
      <c r="B11" s="3" t="s">
        <v>43</v>
      </c>
      <c r="C11" s="3" t="s">
        <v>58</v>
      </c>
      <c r="D11" s="3" t="s">
        <v>52</v>
      </c>
      <c r="E11" s="3" t="s">
        <v>59</v>
      </c>
      <c r="F11" s="3">
        <v>4241</v>
      </c>
      <c r="G11" s="3">
        <v>902</v>
      </c>
      <c r="H11" s="3">
        <v>47</v>
      </c>
      <c r="I11" s="3">
        <v>72097</v>
      </c>
      <c r="J11" s="3">
        <v>71598</v>
      </c>
      <c r="K11" s="3">
        <v>167</v>
      </c>
      <c r="L11" s="4" t="s">
        <v>30</v>
      </c>
      <c r="M11" s="5" t="s">
        <v>25</v>
      </c>
    </row>
    <row r="12" spans="1:14" x14ac:dyDescent="0.3">
      <c r="A12" s="3" t="s">
        <v>60</v>
      </c>
      <c r="B12" s="3" t="s">
        <v>33</v>
      </c>
      <c r="C12" s="3" t="s">
        <v>61</v>
      </c>
      <c r="D12" s="3" t="s">
        <v>35</v>
      </c>
      <c r="E12" s="3" t="s">
        <v>36</v>
      </c>
      <c r="F12" s="3">
        <v>1792</v>
      </c>
      <c r="G12" s="3">
        <v>614</v>
      </c>
      <c r="H12" s="3">
        <v>497</v>
      </c>
      <c r="I12" s="3">
        <v>25088</v>
      </c>
      <c r="J12" s="3">
        <v>24675</v>
      </c>
      <c r="K12" s="3">
        <v>65</v>
      </c>
      <c r="L12" s="4" t="s">
        <v>62</v>
      </c>
      <c r="M12" s="5" t="s">
        <v>38</v>
      </c>
    </row>
    <row r="13" spans="1:14" hidden="1" x14ac:dyDescent="0.3">
      <c r="A13" s="3" t="s">
        <v>63</v>
      </c>
      <c r="B13" s="3" t="s">
        <v>43</v>
      </c>
      <c r="C13" s="3" t="s">
        <v>64</v>
      </c>
      <c r="D13" s="3" t="s">
        <v>16</v>
      </c>
      <c r="E13" s="3" t="s">
        <v>65</v>
      </c>
      <c r="F13" s="3">
        <v>1946</v>
      </c>
      <c r="G13" s="3">
        <v>686</v>
      </c>
      <c r="H13" s="3">
        <v>377</v>
      </c>
      <c r="I13" s="3">
        <v>23352</v>
      </c>
      <c r="J13" s="3">
        <v>22982</v>
      </c>
      <c r="K13" s="3">
        <v>213</v>
      </c>
      <c r="L13" s="4" t="s">
        <v>62</v>
      </c>
      <c r="M13" s="5" t="s">
        <v>31</v>
      </c>
    </row>
    <row r="14" spans="1:14" hidden="1" x14ac:dyDescent="0.3">
      <c r="A14" s="3" t="s">
        <v>66</v>
      </c>
      <c r="B14" s="3" t="s">
        <v>27</v>
      </c>
      <c r="C14" s="3" t="s">
        <v>67</v>
      </c>
      <c r="D14" s="3" t="s">
        <v>45</v>
      </c>
      <c r="E14" s="3" t="s">
        <v>68</v>
      </c>
      <c r="F14" s="3">
        <v>1171</v>
      </c>
      <c r="G14" s="3">
        <v>286</v>
      </c>
      <c r="H14" s="3">
        <v>231</v>
      </c>
      <c r="I14" s="3">
        <v>22249</v>
      </c>
      <c r="J14" s="3">
        <v>21282</v>
      </c>
      <c r="K14" s="3">
        <v>114</v>
      </c>
      <c r="L14" s="4" t="s">
        <v>37</v>
      </c>
      <c r="M14" s="5" t="s">
        <v>19</v>
      </c>
    </row>
    <row r="15" spans="1:14" hidden="1" x14ac:dyDescent="0.3">
      <c r="A15" s="3" t="s">
        <v>69</v>
      </c>
      <c r="B15" s="3" t="s">
        <v>43</v>
      </c>
      <c r="C15" s="3" t="s">
        <v>70</v>
      </c>
      <c r="D15" s="3" t="s">
        <v>35</v>
      </c>
      <c r="E15" s="3" t="s">
        <v>71</v>
      </c>
      <c r="F15" s="3">
        <v>4242</v>
      </c>
      <c r="G15" s="3">
        <v>555</v>
      </c>
      <c r="H15" s="3">
        <v>131</v>
      </c>
      <c r="I15" s="3">
        <v>33936</v>
      </c>
      <c r="J15" s="3">
        <v>33802</v>
      </c>
      <c r="K15" s="3">
        <v>265</v>
      </c>
      <c r="L15" s="4" t="s">
        <v>62</v>
      </c>
      <c r="M15" s="5"/>
    </row>
    <row r="16" spans="1:14" hidden="1" x14ac:dyDescent="0.3">
      <c r="A16" s="3" t="s">
        <v>72</v>
      </c>
      <c r="B16" s="3" t="s">
        <v>43</v>
      </c>
      <c r="C16" s="3" t="s">
        <v>73</v>
      </c>
      <c r="D16" s="3" t="s">
        <v>74</v>
      </c>
      <c r="E16" s="3" t="s">
        <v>75</v>
      </c>
      <c r="F16" s="3">
        <v>3888</v>
      </c>
      <c r="G16" s="3">
        <v>604</v>
      </c>
      <c r="H16" s="3">
        <v>128</v>
      </c>
      <c r="I16" s="3">
        <v>77760</v>
      </c>
      <c r="J16" s="3">
        <v>77167</v>
      </c>
      <c r="K16" s="3">
        <v>20</v>
      </c>
      <c r="L16" s="4" t="s">
        <v>62</v>
      </c>
      <c r="M16" s="5" t="s">
        <v>19</v>
      </c>
    </row>
    <row r="17" spans="1:13" hidden="1" x14ac:dyDescent="0.3">
      <c r="A17" s="3" t="s">
        <v>76</v>
      </c>
      <c r="B17" s="3" t="s">
        <v>43</v>
      </c>
      <c r="C17" s="3" t="s">
        <v>77</v>
      </c>
      <c r="D17" s="3" t="s">
        <v>22</v>
      </c>
      <c r="E17" s="3" t="s">
        <v>56</v>
      </c>
      <c r="F17" s="3">
        <v>3452</v>
      </c>
      <c r="G17" s="3">
        <v>377</v>
      </c>
      <c r="H17" s="3">
        <v>360</v>
      </c>
      <c r="I17" s="3">
        <v>55232</v>
      </c>
      <c r="J17" s="3">
        <v>55075</v>
      </c>
      <c r="K17" s="3">
        <v>87</v>
      </c>
      <c r="L17" s="4" t="s">
        <v>62</v>
      </c>
      <c r="M17" s="5" t="s">
        <v>31</v>
      </c>
    </row>
    <row r="18" spans="1:13" x14ac:dyDescent="0.3">
      <c r="A18" s="3" t="s">
        <v>78</v>
      </c>
      <c r="B18" s="3" t="s">
        <v>43</v>
      </c>
      <c r="C18" s="3" t="s">
        <v>79</v>
      </c>
      <c r="D18" s="3" t="s">
        <v>22</v>
      </c>
      <c r="E18" s="3" t="s">
        <v>56</v>
      </c>
      <c r="F18" s="3">
        <v>4441</v>
      </c>
      <c r="G18" s="3">
        <v>511</v>
      </c>
      <c r="H18" s="3">
        <v>70</v>
      </c>
      <c r="I18" s="3">
        <v>53292</v>
      </c>
      <c r="J18" s="3">
        <v>53082</v>
      </c>
      <c r="K18" s="3">
        <v>159</v>
      </c>
      <c r="L18" s="4" t="s">
        <v>37</v>
      </c>
      <c r="M18" s="5" t="s">
        <v>38</v>
      </c>
    </row>
    <row r="19" spans="1:13" hidden="1" x14ac:dyDescent="0.3">
      <c r="A19" s="3" t="s">
        <v>80</v>
      </c>
      <c r="B19" s="3" t="s">
        <v>33</v>
      </c>
      <c r="C19" s="3" t="s">
        <v>81</v>
      </c>
      <c r="D19" s="3" t="s">
        <v>16</v>
      </c>
      <c r="E19" s="3" t="s">
        <v>82</v>
      </c>
      <c r="F19" s="3">
        <v>3000</v>
      </c>
      <c r="G19" s="3">
        <v>382</v>
      </c>
      <c r="H19" s="3">
        <v>325</v>
      </c>
      <c r="I19" s="3">
        <v>36000</v>
      </c>
      <c r="J19" s="3">
        <v>35819</v>
      </c>
      <c r="K19" s="3">
        <v>19</v>
      </c>
      <c r="L19" s="4" t="s">
        <v>62</v>
      </c>
      <c r="M19" s="5" t="s">
        <v>19</v>
      </c>
    </row>
    <row r="20" spans="1:13" x14ac:dyDescent="0.3">
      <c r="A20" s="3" t="s">
        <v>83</v>
      </c>
      <c r="B20" s="3" t="s">
        <v>33</v>
      </c>
      <c r="C20" s="3" t="s">
        <v>84</v>
      </c>
      <c r="D20" s="3" t="s">
        <v>74</v>
      </c>
      <c r="E20" s="3" t="s">
        <v>85</v>
      </c>
      <c r="F20" s="3">
        <v>1071</v>
      </c>
      <c r="G20" s="3">
        <v>519</v>
      </c>
      <c r="H20" s="3">
        <v>22</v>
      </c>
      <c r="I20" s="3">
        <v>16065</v>
      </c>
      <c r="J20" s="3">
        <v>15865</v>
      </c>
      <c r="K20" s="3">
        <v>103</v>
      </c>
      <c r="L20" s="4" t="s">
        <v>30</v>
      </c>
      <c r="M20" s="5" t="s">
        <v>38</v>
      </c>
    </row>
    <row r="21" spans="1:13" hidden="1" x14ac:dyDescent="0.3">
      <c r="A21" s="3" t="s">
        <v>86</v>
      </c>
      <c r="B21" s="3" t="s">
        <v>33</v>
      </c>
      <c r="C21" s="3" t="s">
        <v>87</v>
      </c>
      <c r="D21" s="3" t="s">
        <v>45</v>
      </c>
      <c r="E21" s="3" t="s">
        <v>88</v>
      </c>
      <c r="F21" s="3">
        <v>4054</v>
      </c>
      <c r="G21" s="3">
        <v>488</v>
      </c>
      <c r="H21" s="3">
        <v>373</v>
      </c>
      <c r="I21" s="3">
        <v>77026</v>
      </c>
      <c r="J21" s="3">
        <v>76881</v>
      </c>
      <c r="K21" s="3">
        <v>25</v>
      </c>
      <c r="L21" s="4" t="s">
        <v>30</v>
      </c>
      <c r="M21" s="5" t="s">
        <v>19</v>
      </c>
    </row>
    <row r="22" spans="1:13" x14ac:dyDescent="0.3">
      <c r="A22" s="3" t="s">
        <v>89</v>
      </c>
      <c r="B22" s="3" t="s">
        <v>33</v>
      </c>
      <c r="C22" s="3" t="s">
        <v>90</v>
      </c>
      <c r="D22" s="3" t="s">
        <v>16</v>
      </c>
      <c r="E22" s="3" t="s">
        <v>82</v>
      </c>
      <c r="F22" s="3">
        <v>4838</v>
      </c>
      <c r="G22" s="3">
        <v>640</v>
      </c>
      <c r="H22" s="3">
        <v>128</v>
      </c>
      <c r="I22" s="3">
        <v>72570</v>
      </c>
      <c r="J22" s="3">
        <v>72396</v>
      </c>
      <c r="K22" s="3">
        <v>83</v>
      </c>
      <c r="L22" s="4" t="s">
        <v>62</v>
      </c>
      <c r="M22" s="5" t="s">
        <v>38</v>
      </c>
    </row>
    <row r="23" spans="1:13" x14ac:dyDescent="0.3">
      <c r="A23" s="3" t="s">
        <v>91</v>
      </c>
      <c r="B23" s="3" t="s">
        <v>43</v>
      </c>
      <c r="C23" s="3" t="s">
        <v>92</v>
      </c>
      <c r="D23" s="3" t="s">
        <v>22</v>
      </c>
      <c r="E23" s="3" t="s">
        <v>56</v>
      </c>
      <c r="F23" s="3">
        <v>1570</v>
      </c>
      <c r="G23" s="3">
        <v>187</v>
      </c>
      <c r="H23" s="3">
        <v>260</v>
      </c>
      <c r="I23" s="3">
        <v>25120</v>
      </c>
      <c r="J23" s="3">
        <v>24613</v>
      </c>
      <c r="K23" s="3">
        <v>133</v>
      </c>
      <c r="L23" s="4" t="s">
        <v>30</v>
      </c>
      <c r="M23" s="5" t="s">
        <v>38</v>
      </c>
    </row>
    <row r="24" spans="1:13" hidden="1" x14ac:dyDescent="0.3">
      <c r="A24" s="3" t="s">
        <v>93</v>
      </c>
      <c r="B24" s="3" t="s">
        <v>43</v>
      </c>
      <c r="C24" s="3" t="s">
        <v>94</v>
      </c>
      <c r="D24" s="3" t="s">
        <v>74</v>
      </c>
      <c r="E24" s="3" t="s">
        <v>75</v>
      </c>
      <c r="F24" s="3">
        <v>1606</v>
      </c>
      <c r="G24" s="3">
        <v>547</v>
      </c>
      <c r="H24" s="3">
        <v>316</v>
      </c>
      <c r="I24" s="3">
        <v>32120</v>
      </c>
      <c r="J24" s="3">
        <v>31736</v>
      </c>
      <c r="K24" s="3">
        <v>225</v>
      </c>
      <c r="L24" s="4" t="s">
        <v>95</v>
      </c>
      <c r="M24" s="5" t="s">
        <v>25</v>
      </c>
    </row>
    <row r="25" spans="1:13" hidden="1" x14ac:dyDescent="0.3">
      <c r="A25" s="3" t="s">
        <v>96</v>
      </c>
      <c r="B25" s="3" t="s">
        <v>43</v>
      </c>
      <c r="C25" s="3" t="s">
        <v>97</v>
      </c>
      <c r="D25" s="3" t="s">
        <v>74</v>
      </c>
      <c r="E25" s="3" t="s">
        <v>75</v>
      </c>
      <c r="F25" s="3">
        <v>3961</v>
      </c>
      <c r="G25" s="3">
        <v>761</v>
      </c>
      <c r="H25" s="3">
        <v>131</v>
      </c>
      <c r="I25" s="3">
        <v>67337</v>
      </c>
      <c r="J25" s="3">
        <v>66615</v>
      </c>
      <c r="K25" s="3">
        <v>161</v>
      </c>
      <c r="L25" s="4" t="s">
        <v>62</v>
      </c>
      <c r="M25" s="5" t="s">
        <v>31</v>
      </c>
    </row>
    <row r="26" spans="1:13" hidden="1" x14ac:dyDescent="0.3">
      <c r="A26" s="3" t="s">
        <v>98</v>
      </c>
      <c r="B26" s="3" t="s">
        <v>14</v>
      </c>
      <c r="C26" s="3" t="s">
        <v>99</v>
      </c>
      <c r="D26" s="3" t="s">
        <v>45</v>
      </c>
      <c r="E26" s="3" t="s">
        <v>49</v>
      </c>
      <c r="F26" s="3">
        <v>3128</v>
      </c>
      <c r="G26" s="3">
        <v>211</v>
      </c>
      <c r="H26" s="3">
        <v>197</v>
      </c>
      <c r="I26" s="3">
        <v>59432</v>
      </c>
      <c r="J26" s="3">
        <v>59182</v>
      </c>
      <c r="K26" s="3">
        <v>238</v>
      </c>
      <c r="L26" s="4" t="s">
        <v>37</v>
      </c>
      <c r="M26" s="5"/>
    </row>
    <row r="27" spans="1:13" hidden="1" x14ac:dyDescent="0.3">
      <c r="A27" s="3" t="s">
        <v>100</v>
      </c>
      <c r="B27" s="3" t="s">
        <v>27</v>
      </c>
      <c r="C27" s="3" t="s">
        <v>101</v>
      </c>
      <c r="D27" s="3" t="s">
        <v>16</v>
      </c>
      <c r="E27" s="3" t="s">
        <v>29</v>
      </c>
      <c r="F27" s="3">
        <v>3009</v>
      </c>
      <c r="G27" s="3">
        <v>413</v>
      </c>
      <c r="H27" s="3">
        <v>358</v>
      </c>
      <c r="I27" s="3">
        <v>42126</v>
      </c>
      <c r="J27" s="3">
        <v>41309</v>
      </c>
      <c r="K27" s="3">
        <v>211</v>
      </c>
      <c r="L27" s="4" t="s">
        <v>62</v>
      </c>
      <c r="M27" s="5" t="s">
        <v>25</v>
      </c>
    </row>
    <row r="28" spans="1:13" x14ac:dyDescent="0.3">
      <c r="A28" s="3" t="s">
        <v>102</v>
      </c>
      <c r="B28" s="3" t="s">
        <v>27</v>
      </c>
      <c r="C28" s="3" t="s">
        <v>103</v>
      </c>
      <c r="D28" s="3" t="s">
        <v>22</v>
      </c>
      <c r="E28" s="3" t="s">
        <v>104</v>
      </c>
      <c r="F28" s="3">
        <v>2076</v>
      </c>
      <c r="G28" s="3">
        <v>195</v>
      </c>
      <c r="H28" s="3">
        <v>104</v>
      </c>
      <c r="I28" s="3">
        <v>33216</v>
      </c>
      <c r="J28" s="3">
        <v>32244</v>
      </c>
      <c r="K28" s="3">
        <v>51</v>
      </c>
      <c r="L28" s="4" t="s">
        <v>62</v>
      </c>
      <c r="M28" s="5" t="s">
        <v>38</v>
      </c>
    </row>
    <row r="29" spans="1:13" x14ac:dyDescent="0.3">
      <c r="A29" s="3" t="s">
        <v>105</v>
      </c>
      <c r="B29" s="3" t="s">
        <v>33</v>
      </c>
      <c r="C29" s="3" t="s">
        <v>106</v>
      </c>
      <c r="D29" s="3" t="s">
        <v>74</v>
      </c>
      <c r="E29" s="3" t="s">
        <v>85</v>
      </c>
      <c r="F29" s="3">
        <v>432</v>
      </c>
      <c r="G29" s="3">
        <v>624</v>
      </c>
      <c r="H29" s="3">
        <v>123</v>
      </c>
      <c r="I29" s="3">
        <v>6912</v>
      </c>
      <c r="J29" s="3">
        <v>6259</v>
      </c>
      <c r="K29" s="3">
        <v>79</v>
      </c>
      <c r="L29" s="4" t="s">
        <v>62</v>
      </c>
      <c r="M29" s="5" t="s">
        <v>38</v>
      </c>
    </row>
    <row r="30" spans="1:13" hidden="1" x14ac:dyDescent="0.3">
      <c r="A30" s="3" t="s">
        <v>107</v>
      </c>
      <c r="B30" s="3" t="s">
        <v>33</v>
      </c>
      <c r="C30" s="3" t="s">
        <v>108</v>
      </c>
      <c r="D30" s="3" t="s">
        <v>45</v>
      </c>
      <c r="E30" s="3" t="s">
        <v>88</v>
      </c>
      <c r="F30" s="3">
        <v>2566</v>
      </c>
      <c r="G30" s="3">
        <v>118</v>
      </c>
      <c r="H30" s="3">
        <v>37</v>
      </c>
      <c r="I30" s="3">
        <v>12830</v>
      </c>
      <c r="J30" s="3">
        <v>12264</v>
      </c>
      <c r="K30" s="3">
        <v>221</v>
      </c>
      <c r="L30" s="4" t="s">
        <v>62</v>
      </c>
      <c r="M30" s="5" t="s">
        <v>31</v>
      </c>
    </row>
    <row r="31" spans="1:13" hidden="1" x14ac:dyDescent="0.3">
      <c r="A31" s="3" t="s">
        <v>109</v>
      </c>
      <c r="B31" s="3" t="s">
        <v>33</v>
      </c>
      <c r="C31" s="3" t="s">
        <v>110</v>
      </c>
      <c r="D31" s="3" t="s">
        <v>74</v>
      </c>
      <c r="E31" s="3" t="s">
        <v>85</v>
      </c>
      <c r="F31" s="3">
        <v>3095</v>
      </c>
      <c r="G31" s="3">
        <v>39</v>
      </c>
      <c r="H31" s="3">
        <v>78</v>
      </c>
      <c r="I31" s="3">
        <v>55710</v>
      </c>
      <c r="J31" s="3">
        <v>54808</v>
      </c>
      <c r="K31" s="3">
        <v>93</v>
      </c>
      <c r="L31" s="4" t="s">
        <v>37</v>
      </c>
      <c r="M31" s="5"/>
    </row>
    <row r="32" spans="1:13" hidden="1" x14ac:dyDescent="0.3">
      <c r="A32" s="3" t="s">
        <v>111</v>
      </c>
      <c r="B32" s="3" t="s">
        <v>33</v>
      </c>
      <c r="C32" s="3" t="s">
        <v>112</v>
      </c>
      <c r="D32" s="3" t="s">
        <v>22</v>
      </c>
      <c r="E32" s="3" t="s">
        <v>113</v>
      </c>
      <c r="F32" s="3">
        <v>438</v>
      </c>
      <c r="G32" s="3">
        <v>153</v>
      </c>
      <c r="H32" s="3">
        <v>275</v>
      </c>
      <c r="I32" s="3">
        <v>3066</v>
      </c>
      <c r="J32" s="3">
        <v>2701</v>
      </c>
      <c r="K32" s="3">
        <v>282</v>
      </c>
      <c r="L32" s="4" t="s">
        <v>30</v>
      </c>
      <c r="M32" s="5" t="s">
        <v>25</v>
      </c>
    </row>
    <row r="33" spans="1:13" hidden="1" x14ac:dyDescent="0.3">
      <c r="A33" s="3" t="s">
        <v>114</v>
      </c>
      <c r="B33" s="3" t="s">
        <v>14</v>
      </c>
      <c r="C33" s="3" t="s">
        <v>115</v>
      </c>
      <c r="D33" s="3" t="s">
        <v>45</v>
      </c>
      <c r="E33" s="3" t="s">
        <v>49</v>
      </c>
      <c r="F33" s="3">
        <v>2278</v>
      </c>
      <c r="G33" s="3">
        <v>10</v>
      </c>
      <c r="H33" s="3">
        <v>321</v>
      </c>
      <c r="I33" s="3">
        <v>13668</v>
      </c>
      <c r="J33" s="3">
        <v>12676</v>
      </c>
      <c r="K33" s="3">
        <v>275</v>
      </c>
      <c r="L33" s="4" t="s">
        <v>37</v>
      </c>
      <c r="M33" s="5" t="s">
        <v>19</v>
      </c>
    </row>
    <row r="34" spans="1:13" hidden="1" x14ac:dyDescent="0.3">
      <c r="A34" s="3" t="s">
        <v>116</v>
      </c>
      <c r="B34" s="3" t="s">
        <v>43</v>
      </c>
      <c r="C34" s="3" t="s">
        <v>117</v>
      </c>
      <c r="D34" s="3" t="s">
        <v>52</v>
      </c>
      <c r="E34" s="3" t="s">
        <v>59</v>
      </c>
      <c r="F34" s="3">
        <v>1407</v>
      </c>
      <c r="G34" s="3">
        <v>400</v>
      </c>
      <c r="H34" s="3">
        <v>351</v>
      </c>
      <c r="I34" s="3">
        <v>16884</v>
      </c>
      <c r="J34" s="3">
        <v>15954</v>
      </c>
      <c r="K34" s="3">
        <v>113</v>
      </c>
      <c r="L34" s="4" t="s">
        <v>30</v>
      </c>
      <c r="M34" s="5" t="s">
        <v>19</v>
      </c>
    </row>
    <row r="35" spans="1:13" hidden="1" x14ac:dyDescent="0.3">
      <c r="A35" s="3" t="s">
        <v>118</v>
      </c>
      <c r="B35" s="3" t="s">
        <v>43</v>
      </c>
      <c r="C35" s="3" t="s">
        <v>119</v>
      </c>
      <c r="D35" s="3" t="s">
        <v>22</v>
      </c>
      <c r="E35" s="3" t="s">
        <v>56</v>
      </c>
      <c r="F35" s="3">
        <v>1652</v>
      </c>
      <c r="G35" s="3">
        <v>89</v>
      </c>
      <c r="H35" s="3">
        <v>357</v>
      </c>
      <c r="I35" s="3">
        <v>29736</v>
      </c>
      <c r="J35" s="3">
        <v>28771</v>
      </c>
      <c r="K35" s="3">
        <v>215</v>
      </c>
      <c r="L35" s="4" t="s">
        <v>30</v>
      </c>
      <c r="M35" s="5" t="s">
        <v>31</v>
      </c>
    </row>
    <row r="36" spans="1:13" hidden="1" x14ac:dyDescent="0.3">
      <c r="A36" s="3" t="s">
        <v>120</v>
      </c>
      <c r="B36" s="3" t="s">
        <v>33</v>
      </c>
      <c r="C36" s="3" t="s">
        <v>121</v>
      </c>
      <c r="D36" s="3" t="s">
        <v>74</v>
      </c>
      <c r="E36" s="3" t="s">
        <v>85</v>
      </c>
      <c r="F36" s="3">
        <v>3775</v>
      </c>
      <c r="G36" s="3">
        <v>16</v>
      </c>
      <c r="H36" s="3">
        <v>239</v>
      </c>
      <c r="I36" s="3">
        <v>33975</v>
      </c>
      <c r="J36" s="3">
        <v>33310</v>
      </c>
      <c r="K36" s="3">
        <v>271</v>
      </c>
      <c r="L36" s="4" t="s">
        <v>62</v>
      </c>
      <c r="M36" s="5" t="s">
        <v>25</v>
      </c>
    </row>
    <row r="37" spans="1:13" hidden="1" x14ac:dyDescent="0.3">
      <c r="A37" s="3" t="s">
        <v>122</v>
      </c>
      <c r="B37" s="3" t="s">
        <v>33</v>
      </c>
      <c r="C37" s="3" t="s">
        <v>123</v>
      </c>
      <c r="D37" s="3" t="s">
        <v>35</v>
      </c>
      <c r="E37" s="3" t="s">
        <v>36</v>
      </c>
      <c r="F37" s="3">
        <v>4518</v>
      </c>
      <c r="G37" s="3">
        <v>285</v>
      </c>
      <c r="H37" s="3">
        <v>383</v>
      </c>
      <c r="I37" s="3">
        <v>67770</v>
      </c>
      <c r="J37" s="3">
        <v>67621</v>
      </c>
      <c r="K37" s="3">
        <v>31</v>
      </c>
      <c r="L37" s="4" t="s">
        <v>37</v>
      </c>
      <c r="M37" s="5" t="s">
        <v>25</v>
      </c>
    </row>
    <row r="38" spans="1:13" hidden="1" x14ac:dyDescent="0.3">
      <c r="A38" s="3" t="s">
        <v>124</v>
      </c>
      <c r="B38" s="3" t="s">
        <v>43</v>
      </c>
      <c r="C38" s="3" t="s">
        <v>125</v>
      </c>
      <c r="D38" s="3" t="s">
        <v>45</v>
      </c>
      <c r="E38" s="3" t="s">
        <v>46</v>
      </c>
      <c r="F38" s="3">
        <v>3024</v>
      </c>
      <c r="G38" s="3">
        <v>925</v>
      </c>
      <c r="H38" s="3">
        <v>350</v>
      </c>
      <c r="I38" s="3">
        <v>24192</v>
      </c>
      <c r="J38" s="3">
        <v>23518</v>
      </c>
      <c r="K38" s="3">
        <v>36</v>
      </c>
      <c r="L38" s="4" t="s">
        <v>37</v>
      </c>
      <c r="M38" s="5" t="s">
        <v>25</v>
      </c>
    </row>
    <row r="39" spans="1:13" x14ac:dyDescent="0.3">
      <c r="A39" s="3" t="s">
        <v>126</v>
      </c>
      <c r="B39" s="3" t="s">
        <v>27</v>
      </c>
      <c r="C39" s="3" t="s">
        <v>127</v>
      </c>
      <c r="D39" s="3" t="s">
        <v>16</v>
      </c>
      <c r="E39" s="3" t="s">
        <v>29</v>
      </c>
      <c r="F39" s="3">
        <v>3138</v>
      </c>
      <c r="G39" s="3">
        <v>123</v>
      </c>
      <c r="H39" s="3">
        <v>291</v>
      </c>
      <c r="I39" s="3">
        <v>28242</v>
      </c>
      <c r="J39" s="3">
        <v>27550</v>
      </c>
      <c r="K39" s="3">
        <v>87</v>
      </c>
      <c r="L39" s="4" t="s">
        <v>30</v>
      </c>
      <c r="M39" s="5" t="s">
        <v>38</v>
      </c>
    </row>
    <row r="40" spans="1:13" hidden="1" x14ac:dyDescent="0.3">
      <c r="A40" s="3" t="s">
        <v>128</v>
      </c>
      <c r="B40" s="3" t="s">
        <v>43</v>
      </c>
      <c r="C40" s="3" t="s">
        <v>129</v>
      </c>
      <c r="D40" s="3" t="s">
        <v>52</v>
      </c>
      <c r="E40" s="3" t="s">
        <v>59</v>
      </c>
      <c r="F40" s="3">
        <v>3564</v>
      </c>
      <c r="G40" s="3">
        <v>629</v>
      </c>
      <c r="H40" s="3">
        <v>177</v>
      </c>
      <c r="I40" s="3">
        <v>60588</v>
      </c>
      <c r="J40" s="3">
        <v>59627</v>
      </c>
      <c r="K40" s="3">
        <v>92</v>
      </c>
      <c r="L40" s="4" t="s">
        <v>30</v>
      </c>
      <c r="M40" s="5"/>
    </row>
    <row r="41" spans="1:13" x14ac:dyDescent="0.3">
      <c r="A41" s="3" t="s">
        <v>130</v>
      </c>
      <c r="B41" s="3" t="s">
        <v>14</v>
      </c>
      <c r="C41" s="3" t="s">
        <v>131</v>
      </c>
      <c r="D41" s="3" t="s">
        <v>52</v>
      </c>
      <c r="E41" s="3" t="s">
        <v>132</v>
      </c>
      <c r="F41" s="3">
        <v>4750</v>
      </c>
      <c r="G41" s="3">
        <v>151</v>
      </c>
      <c r="H41" s="3">
        <v>415</v>
      </c>
      <c r="I41" s="3">
        <v>38000</v>
      </c>
      <c r="J41" s="3">
        <v>37792</v>
      </c>
      <c r="K41" s="3">
        <v>299</v>
      </c>
      <c r="L41" s="4" t="s">
        <v>37</v>
      </c>
      <c r="M41" s="5" t="s">
        <v>38</v>
      </c>
    </row>
    <row r="42" spans="1:13" x14ac:dyDescent="0.3">
      <c r="A42" s="3" t="s">
        <v>133</v>
      </c>
      <c r="B42" s="3" t="s">
        <v>33</v>
      </c>
      <c r="C42" s="3" t="s">
        <v>134</v>
      </c>
      <c r="D42" s="3" t="s">
        <v>16</v>
      </c>
      <c r="E42" s="3" t="s">
        <v>82</v>
      </c>
      <c r="F42" s="3">
        <v>456</v>
      </c>
      <c r="G42" s="3">
        <v>629</v>
      </c>
      <c r="H42" s="3">
        <v>428</v>
      </c>
      <c r="I42" s="3">
        <v>8208</v>
      </c>
      <c r="J42" s="3">
        <v>7377</v>
      </c>
      <c r="K42" s="3">
        <v>205</v>
      </c>
      <c r="L42" s="4" t="s">
        <v>62</v>
      </c>
      <c r="M42" s="5" t="s">
        <v>38</v>
      </c>
    </row>
    <row r="43" spans="1:13" hidden="1" x14ac:dyDescent="0.3">
      <c r="A43" s="3" t="s">
        <v>135</v>
      </c>
      <c r="B43" s="3" t="s">
        <v>27</v>
      </c>
      <c r="C43" s="3" t="s">
        <v>136</v>
      </c>
      <c r="D43" s="3" t="s">
        <v>16</v>
      </c>
      <c r="E43" s="3" t="s">
        <v>29</v>
      </c>
      <c r="F43" s="3">
        <v>1543</v>
      </c>
      <c r="G43" s="3">
        <v>820</v>
      </c>
      <c r="H43" s="3">
        <v>333</v>
      </c>
      <c r="I43" s="3">
        <v>12344</v>
      </c>
      <c r="J43" s="3">
        <v>11496</v>
      </c>
      <c r="K43" s="3">
        <v>241</v>
      </c>
      <c r="L43" s="4" t="s">
        <v>37</v>
      </c>
      <c r="M43" s="5"/>
    </row>
    <row r="44" spans="1:13" hidden="1" x14ac:dyDescent="0.3">
      <c r="A44" s="3" t="s">
        <v>137</v>
      </c>
      <c r="B44" s="3" t="s">
        <v>33</v>
      </c>
      <c r="C44" s="3" t="s">
        <v>138</v>
      </c>
      <c r="D44" s="3" t="s">
        <v>45</v>
      </c>
      <c r="E44" s="3" t="s">
        <v>88</v>
      </c>
      <c r="F44" s="3">
        <v>2174</v>
      </c>
      <c r="G44" s="3">
        <v>658</v>
      </c>
      <c r="H44" s="3">
        <v>15</v>
      </c>
      <c r="I44" s="3">
        <v>13044</v>
      </c>
      <c r="J44" s="3">
        <v>12206</v>
      </c>
      <c r="K44" s="3">
        <v>137</v>
      </c>
      <c r="L44" s="4" t="s">
        <v>30</v>
      </c>
      <c r="M44" s="5" t="s">
        <v>31</v>
      </c>
    </row>
    <row r="45" spans="1:13" hidden="1" x14ac:dyDescent="0.3">
      <c r="A45" s="3" t="s">
        <v>139</v>
      </c>
      <c r="B45" s="3" t="s">
        <v>14</v>
      </c>
      <c r="C45" s="3" t="s">
        <v>140</v>
      </c>
      <c r="D45" s="3" t="s">
        <v>52</v>
      </c>
      <c r="E45" s="3" t="s">
        <v>132</v>
      </c>
      <c r="F45" s="3">
        <v>2358</v>
      </c>
      <c r="G45" s="3">
        <v>784</v>
      </c>
      <c r="H45" s="3">
        <v>344</v>
      </c>
      <c r="I45" s="3">
        <v>35370</v>
      </c>
      <c r="J45" s="3">
        <v>34475</v>
      </c>
      <c r="K45" s="3">
        <v>216</v>
      </c>
      <c r="L45" s="4" t="s">
        <v>30</v>
      </c>
      <c r="M45" s="5"/>
    </row>
    <row r="46" spans="1:13" hidden="1" x14ac:dyDescent="0.3">
      <c r="A46" s="3" t="s">
        <v>141</v>
      </c>
      <c r="B46" s="3" t="s">
        <v>43</v>
      </c>
      <c r="C46" s="3" t="s">
        <v>142</v>
      </c>
      <c r="D46" s="3" t="s">
        <v>74</v>
      </c>
      <c r="E46" s="3" t="s">
        <v>75</v>
      </c>
      <c r="F46" s="3">
        <v>3371</v>
      </c>
      <c r="G46" s="3">
        <v>106</v>
      </c>
      <c r="H46" s="3">
        <v>327</v>
      </c>
      <c r="I46" s="3">
        <v>50565</v>
      </c>
      <c r="J46" s="3">
        <v>49816</v>
      </c>
      <c r="K46" s="3">
        <v>176</v>
      </c>
      <c r="L46" s="4" t="s">
        <v>62</v>
      </c>
      <c r="M46" s="5" t="s">
        <v>19</v>
      </c>
    </row>
    <row r="47" spans="1:13" x14ac:dyDescent="0.3">
      <c r="A47" s="3" t="s">
        <v>143</v>
      </c>
      <c r="B47" s="3" t="s">
        <v>14</v>
      </c>
      <c r="C47" s="3" t="s">
        <v>144</v>
      </c>
      <c r="D47" s="3" t="s">
        <v>74</v>
      </c>
      <c r="E47" s="3" t="s">
        <v>145</v>
      </c>
      <c r="F47" s="3">
        <v>1108</v>
      </c>
      <c r="G47" s="3">
        <v>177</v>
      </c>
      <c r="H47" s="3">
        <v>212</v>
      </c>
      <c r="I47" s="3">
        <v>8864</v>
      </c>
      <c r="J47" s="3">
        <v>8710</v>
      </c>
      <c r="K47" s="3">
        <v>97</v>
      </c>
      <c r="L47" s="4" t="s">
        <v>30</v>
      </c>
      <c r="M47" s="5" t="s">
        <v>38</v>
      </c>
    </row>
    <row r="48" spans="1:13" hidden="1" x14ac:dyDescent="0.3">
      <c r="A48" s="3" t="s">
        <v>146</v>
      </c>
      <c r="B48" s="3" t="s">
        <v>14</v>
      </c>
      <c r="C48" s="3" t="s">
        <v>147</v>
      </c>
      <c r="D48" s="3" t="s">
        <v>45</v>
      </c>
      <c r="E48" s="3" t="s">
        <v>49</v>
      </c>
      <c r="F48" s="3">
        <v>2704</v>
      </c>
      <c r="G48" s="3">
        <v>752</v>
      </c>
      <c r="H48" s="3">
        <v>153</v>
      </c>
      <c r="I48" s="3">
        <v>21632</v>
      </c>
      <c r="J48" s="3">
        <v>20792</v>
      </c>
      <c r="K48" s="3">
        <v>127</v>
      </c>
      <c r="L48" s="4" t="s">
        <v>62</v>
      </c>
      <c r="M48" s="5"/>
    </row>
    <row r="49" spans="1:13" hidden="1" x14ac:dyDescent="0.3">
      <c r="A49" s="3" t="s">
        <v>148</v>
      </c>
      <c r="B49" s="3" t="s">
        <v>14</v>
      </c>
      <c r="C49" s="3" t="s">
        <v>58</v>
      </c>
      <c r="D49" s="3" t="s">
        <v>35</v>
      </c>
      <c r="E49" s="3" t="s">
        <v>149</v>
      </c>
      <c r="F49" s="3">
        <v>1950</v>
      </c>
      <c r="G49" s="3">
        <v>295</v>
      </c>
      <c r="H49" s="3">
        <v>478</v>
      </c>
      <c r="I49" s="3">
        <v>37050</v>
      </c>
      <c r="J49" s="3">
        <v>36272</v>
      </c>
      <c r="K49" s="3">
        <v>119</v>
      </c>
      <c r="L49" s="4" t="s">
        <v>30</v>
      </c>
      <c r="M49" s="5"/>
    </row>
    <row r="50" spans="1:13" x14ac:dyDescent="0.3">
      <c r="A50" s="3" t="s">
        <v>150</v>
      </c>
      <c r="B50" s="3" t="s">
        <v>14</v>
      </c>
      <c r="C50" s="3" t="s">
        <v>151</v>
      </c>
      <c r="D50" s="3" t="s">
        <v>35</v>
      </c>
      <c r="E50" s="3" t="s">
        <v>149</v>
      </c>
      <c r="F50" s="3">
        <v>2164</v>
      </c>
      <c r="G50" s="3">
        <v>549</v>
      </c>
      <c r="H50" s="3">
        <v>274</v>
      </c>
      <c r="I50" s="3">
        <v>28132</v>
      </c>
      <c r="J50" s="3">
        <v>27361</v>
      </c>
      <c r="K50" s="3">
        <v>177</v>
      </c>
      <c r="L50" s="4" t="s">
        <v>30</v>
      </c>
      <c r="M50" s="5" t="s">
        <v>38</v>
      </c>
    </row>
    <row r="51" spans="1:13" hidden="1" x14ac:dyDescent="0.3">
      <c r="A51" s="3" t="s">
        <v>152</v>
      </c>
      <c r="B51" s="3" t="s">
        <v>27</v>
      </c>
      <c r="C51" s="3" t="s">
        <v>153</v>
      </c>
      <c r="D51" s="3" t="s">
        <v>35</v>
      </c>
      <c r="E51" s="3" t="s">
        <v>154</v>
      </c>
      <c r="F51" s="3">
        <v>2754</v>
      </c>
      <c r="G51" s="3">
        <v>130</v>
      </c>
      <c r="H51" s="3">
        <v>90</v>
      </c>
      <c r="I51" s="3">
        <v>22032</v>
      </c>
      <c r="J51" s="3">
        <v>21288</v>
      </c>
      <c r="K51" s="3">
        <v>112</v>
      </c>
      <c r="L51" s="4" t="s">
        <v>30</v>
      </c>
      <c r="M51" s="5" t="s">
        <v>31</v>
      </c>
    </row>
    <row r="52" spans="1:13" hidden="1" x14ac:dyDescent="0.3">
      <c r="A52" s="3" t="s">
        <v>155</v>
      </c>
      <c r="B52" s="3" t="s">
        <v>43</v>
      </c>
      <c r="C52" s="3" t="s">
        <v>156</v>
      </c>
      <c r="D52" s="3" t="s">
        <v>45</v>
      </c>
      <c r="E52" s="3" t="s">
        <v>46</v>
      </c>
      <c r="F52" s="3">
        <v>2200</v>
      </c>
      <c r="G52" s="3">
        <v>504</v>
      </c>
      <c r="H52" s="3">
        <v>239</v>
      </c>
      <c r="I52" s="3">
        <v>37400</v>
      </c>
      <c r="J52" s="3">
        <v>36938</v>
      </c>
      <c r="K52" s="3">
        <v>225</v>
      </c>
      <c r="L52" s="4" t="s">
        <v>62</v>
      </c>
      <c r="M52" s="5" t="s">
        <v>25</v>
      </c>
    </row>
    <row r="53" spans="1:13" x14ac:dyDescent="0.3">
      <c r="A53" s="3" t="s">
        <v>157</v>
      </c>
      <c r="B53" s="3" t="s">
        <v>43</v>
      </c>
      <c r="C53" s="3" t="s">
        <v>158</v>
      </c>
      <c r="D53" s="3" t="s">
        <v>52</v>
      </c>
      <c r="E53" s="3" t="s">
        <v>59</v>
      </c>
      <c r="F53" s="3">
        <v>947</v>
      </c>
      <c r="G53" s="3">
        <v>338</v>
      </c>
      <c r="H53" s="3">
        <v>350</v>
      </c>
      <c r="I53" s="3">
        <v>10417</v>
      </c>
      <c r="J53" s="3">
        <v>9730</v>
      </c>
      <c r="K53" s="3">
        <v>34</v>
      </c>
      <c r="L53" s="4" t="s">
        <v>30</v>
      </c>
      <c r="M53" s="5" t="s">
        <v>38</v>
      </c>
    </row>
    <row r="54" spans="1:13" hidden="1" x14ac:dyDescent="0.3">
      <c r="A54" s="3" t="s">
        <v>159</v>
      </c>
      <c r="B54" s="3" t="s">
        <v>27</v>
      </c>
      <c r="C54" s="3" t="s">
        <v>147</v>
      </c>
      <c r="D54" s="3" t="s">
        <v>45</v>
      </c>
      <c r="E54" s="3" t="s">
        <v>68</v>
      </c>
      <c r="F54" s="3">
        <v>804</v>
      </c>
      <c r="G54" s="3">
        <v>639</v>
      </c>
      <c r="H54" s="3">
        <v>43</v>
      </c>
      <c r="I54" s="3">
        <v>4020</v>
      </c>
      <c r="J54" s="3">
        <v>3144</v>
      </c>
      <c r="K54" s="3">
        <v>11</v>
      </c>
      <c r="L54" s="4" t="s">
        <v>160</v>
      </c>
      <c r="M54" s="5"/>
    </row>
    <row r="55" spans="1:13" hidden="1" x14ac:dyDescent="0.3">
      <c r="A55" s="3" t="s">
        <v>161</v>
      </c>
      <c r="B55" s="3" t="s">
        <v>27</v>
      </c>
      <c r="C55" s="3" t="s">
        <v>162</v>
      </c>
      <c r="D55" s="3" t="s">
        <v>45</v>
      </c>
      <c r="E55" s="3" t="s">
        <v>68</v>
      </c>
      <c r="F55" s="3">
        <v>1686</v>
      </c>
      <c r="G55" s="3">
        <v>904</v>
      </c>
      <c r="H55" s="3">
        <v>472</v>
      </c>
      <c r="I55" s="3">
        <v>18546</v>
      </c>
      <c r="J55" s="3">
        <v>18171</v>
      </c>
      <c r="K55" s="3">
        <v>52</v>
      </c>
      <c r="L55" s="4" t="s">
        <v>62</v>
      </c>
      <c r="M55" s="5" t="s">
        <v>25</v>
      </c>
    </row>
    <row r="56" spans="1:13" x14ac:dyDescent="0.3">
      <c r="A56" s="3" t="s">
        <v>163</v>
      </c>
      <c r="B56" s="3" t="s">
        <v>43</v>
      </c>
      <c r="C56" s="3" t="s">
        <v>164</v>
      </c>
      <c r="D56" s="3" t="s">
        <v>52</v>
      </c>
      <c r="E56" s="3" t="s">
        <v>59</v>
      </c>
      <c r="F56" s="3">
        <v>1226</v>
      </c>
      <c r="G56" s="3">
        <v>119</v>
      </c>
      <c r="H56" s="3">
        <v>7</v>
      </c>
      <c r="I56" s="3">
        <v>14712</v>
      </c>
      <c r="J56" s="3">
        <v>14049</v>
      </c>
      <c r="K56" s="3">
        <v>123</v>
      </c>
      <c r="L56" s="4" t="s">
        <v>37</v>
      </c>
      <c r="M56" s="5" t="s">
        <v>38</v>
      </c>
    </row>
    <row r="57" spans="1:13" hidden="1" x14ac:dyDescent="0.3">
      <c r="A57" s="3" t="s">
        <v>165</v>
      </c>
      <c r="B57" s="3" t="s">
        <v>43</v>
      </c>
      <c r="C57" s="3" t="s">
        <v>166</v>
      </c>
      <c r="D57" s="3" t="s">
        <v>45</v>
      </c>
      <c r="E57" s="3" t="s">
        <v>46</v>
      </c>
      <c r="F57" s="3">
        <v>2946</v>
      </c>
      <c r="G57" s="3">
        <v>498</v>
      </c>
      <c r="H57" s="3">
        <v>367</v>
      </c>
      <c r="I57" s="3">
        <v>29460</v>
      </c>
      <c r="J57" s="3">
        <v>28527</v>
      </c>
      <c r="K57" s="3">
        <v>60</v>
      </c>
      <c r="L57" s="4" t="s">
        <v>62</v>
      </c>
      <c r="M57" s="5" t="s">
        <v>31</v>
      </c>
    </row>
    <row r="58" spans="1:13" hidden="1" x14ac:dyDescent="0.3">
      <c r="A58" s="3" t="s">
        <v>167</v>
      </c>
      <c r="B58" s="3" t="s">
        <v>14</v>
      </c>
      <c r="C58" s="3" t="s">
        <v>168</v>
      </c>
      <c r="D58" s="3" t="s">
        <v>74</v>
      </c>
      <c r="E58" s="3" t="s">
        <v>145</v>
      </c>
      <c r="F58" s="3">
        <v>2825</v>
      </c>
      <c r="G58" s="3">
        <v>535</v>
      </c>
      <c r="H58" s="3">
        <v>295</v>
      </c>
      <c r="I58" s="3">
        <v>45200</v>
      </c>
      <c r="J58" s="3">
        <v>44739</v>
      </c>
      <c r="K58" s="3">
        <v>169</v>
      </c>
      <c r="L58" s="4" t="s">
        <v>30</v>
      </c>
      <c r="M58" s="5" t="s">
        <v>19</v>
      </c>
    </row>
    <row r="59" spans="1:13" x14ac:dyDescent="0.3">
      <c r="A59" s="3" t="s">
        <v>169</v>
      </c>
      <c r="B59" s="3" t="s">
        <v>33</v>
      </c>
      <c r="C59" s="3" t="s">
        <v>170</v>
      </c>
      <c r="D59" s="3" t="s">
        <v>16</v>
      </c>
      <c r="E59" s="3" t="s">
        <v>82</v>
      </c>
      <c r="F59" s="3">
        <v>103</v>
      </c>
      <c r="G59" s="3">
        <v>770</v>
      </c>
      <c r="H59" s="3">
        <v>19</v>
      </c>
      <c r="I59" s="3">
        <v>1030</v>
      </c>
      <c r="J59" s="3">
        <v>410</v>
      </c>
      <c r="K59" s="3">
        <v>262</v>
      </c>
      <c r="L59" s="4" t="s">
        <v>30</v>
      </c>
      <c r="M59" s="5" t="s">
        <v>38</v>
      </c>
    </row>
    <row r="60" spans="1:13" hidden="1" x14ac:dyDescent="0.3">
      <c r="A60" s="3" t="s">
        <v>171</v>
      </c>
      <c r="B60" s="3" t="s">
        <v>33</v>
      </c>
      <c r="C60" s="3" t="s">
        <v>172</v>
      </c>
      <c r="D60" s="3" t="s">
        <v>22</v>
      </c>
      <c r="E60" s="3" t="s">
        <v>113</v>
      </c>
      <c r="F60" s="3">
        <v>2180</v>
      </c>
      <c r="G60" s="3">
        <v>263</v>
      </c>
      <c r="H60" s="3">
        <v>387</v>
      </c>
      <c r="I60" s="3">
        <v>30520</v>
      </c>
      <c r="J60" s="3">
        <v>30059</v>
      </c>
      <c r="K60" s="3">
        <v>174</v>
      </c>
      <c r="L60" s="4" t="s">
        <v>37</v>
      </c>
      <c r="M60" s="5"/>
    </row>
    <row r="61" spans="1:13" hidden="1" x14ac:dyDescent="0.3">
      <c r="A61" s="3" t="s">
        <v>173</v>
      </c>
      <c r="B61" s="3" t="s">
        <v>33</v>
      </c>
      <c r="C61" s="3" t="s">
        <v>174</v>
      </c>
      <c r="D61" s="3" t="s">
        <v>74</v>
      </c>
      <c r="E61" s="3" t="s">
        <v>85</v>
      </c>
      <c r="F61" s="3">
        <v>904</v>
      </c>
      <c r="G61" s="3">
        <v>973</v>
      </c>
      <c r="H61" s="3">
        <v>63</v>
      </c>
      <c r="I61" s="3">
        <v>11752</v>
      </c>
      <c r="J61" s="3">
        <v>11580</v>
      </c>
      <c r="K61" s="3">
        <v>84</v>
      </c>
      <c r="L61" s="4" t="s">
        <v>175</v>
      </c>
      <c r="M61" s="5" t="s">
        <v>31</v>
      </c>
    </row>
    <row r="62" spans="1:13" hidden="1" x14ac:dyDescent="0.3">
      <c r="A62" s="3" t="s">
        <v>176</v>
      </c>
      <c r="B62" s="3" t="s">
        <v>14</v>
      </c>
      <c r="C62" s="3" t="s">
        <v>177</v>
      </c>
      <c r="D62" s="3" t="s">
        <v>74</v>
      </c>
      <c r="E62" s="3" t="s">
        <v>145</v>
      </c>
      <c r="F62" s="3">
        <v>4886</v>
      </c>
      <c r="G62" s="3">
        <v>983</v>
      </c>
      <c r="H62" s="3">
        <v>409</v>
      </c>
      <c r="I62" s="3">
        <v>43974</v>
      </c>
      <c r="J62" s="3">
        <v>43239</v>
      </c>
      <c r="K62" s="3">
        <v>65</v>
      </c>
      <c r="L62" s="4" t="s">
        <v>30</v>
      </c>
      <c r="M62" s="5" t="s">
        <v>19</v>
      </c>
    </row>
    <row r="63" spans="1:13" hidden="1" x14ac:dyDescent="0.3">
      <c r="A63" s="3" t="s">
        <v>178</v>
      </c>
      <c r="B63" s="3" t="s">
        <v>14</v>
      </c>
      <c r="C63" s="3" t="s">
        <v>179</v>
      </c>
      <c r="D63" s="3" t="s">
        <v>45</v>
      </c>
      <c r="E63" s="3" t="s">
        <v>49</v>
      </c>
      <c r="F63" s="3">
        <v>53</v>
      </c>
      <c r="G63" s="3">
        <v>81</v>
      </c>
      <c r="H63" s="3">
        <v>379</v>
      </c>
      <c r="I63" s="3">
        <v>954</v>
      </c>
      <c r="J63" s="3">
        <v>7</v>
      </c>
      <c r="K63" s="3">
        <v>148</v>
      </c>
      <c r="L63" s="4" t="s">
        <v>30</v>
      </c>
      <c r="M63" s="5" t="s">
        <v>31</v>
      </c>
    </row>
    <row r="64" spans="1:13" hidden="1" x14ac:dyDescent="0.3">
      <c r="A64" s="3" t="s">
        <v>180</v>
      </c>
      <c r="B64" s="3" t="s">
        <v>14</v>
      </c>
      <c r="C64" s="3" t="s">
        <v>115</v>
      </c>
      <c r="D64" s="3" t="s">
        <v>45</v>
      </c>
      <c r="E64" s="3" t="s">
        <v>49</v>
      </c>
      <c r="F64" s="3">
        <v>4507</v>
      </c>
      <c r="G64" s="3">
        <v>217</v>
      </c>
      <c r="H64" s="3">
        <v>13</v>
      </c>
      <c r="I64" s="3">
        <v>90140</v>
      </c>
      <c r="J64" s="3">
        <v>89591</v>
      </c>
      <c r="K64" s="3">
        <v>125</v>
      </c>
      <c r="L64" s="4" t="s">
        <v>62</v>
      </c>
      <c r="M64" s="5" t="s">
        <v>31</v>
      </c>
    </row>
    <row r="65" spans="1:13" hidden="1" x14ac:dyDescent="0.3">
      <c r="A65" s="3" t="s">
        <v>181</v>
      </c>
      <c r="B65" s="3" t="s">
        <v>43</v>
      </c>
      <c r="C65" s="3" t="s">
        <v>182</v>
      </c>
      <c r="D65" s="3" t="s">
        <v>52</v>
      </c>
      <c r="E65" s="3" t="s">
        <v>59</v>
      </c>
      <c r="F65" s="3">
        <v>2878</v>
      </c>
      <c r="G65" s="3">
        <v>248</v>
      </c>
      <c r="H65" s="3">
        <v>416</v>
      </c>
      <c r="I65" s="3">
        <v>43170</v>
      </c>
      <c r="J65" s="3">
        <v>42667</v>
      </c>
      <c r="K65" s="3">
        <v>75</v>
      </c>
      <c r="L65" s="4" t="s">
        <v>62</v>
      </c>
      <c r="M65" s="5" t="s">
        <v>31</v>
      </c>
    </row>
    <row r="66" spans="1:13" hidden="1" x14ac:dyDescent="0.3">
      <c r="A66" s="3" t="s">
        <v>183</v>
      </c>
      <c r="B66" s="3" t="s">
        <v>33</v>
      </c>
      <c r="C66" s="3" t="s">
        <v>184</v>
      </c>
      <c r="D66" s="3" t="s">
        <v>35</v>
      </c>
      <c r="E66" s="3" t="s">
        <v>36</v>
      </c>
      <c r="F66" s="3">
        <v>1881</v>
      </c>
      <c r="G66" s="3">
        <v>501</v>
      </c>
      <c r="H66" s="3">
        <v>99</v>
      </c>
      <c r="I66" s="3">
        <v>20691</v>
      </c>
      <c r="J66" s="3">
        <v>19987</v>
      </c>
      <c r="K66" s="3">
        <v>289</v>
      </c>
      <c r="L66" s="4" t="s">
        <v>37</v>
      </c>
      <c r="M66" s="5"/>
    </row>
    <row r="67" spans="1:13" hidden="1" x14ac:dyDescent="0.3">
      <c r="A67" s="3" t="s">
        <v>185</v>
      </c>
      <c r="B67" s="3" t="s">
        <v>14</v>
      </c>
      <c r="C67" s="3" t="s">
        <v>186</v>
      </c>
      <c r="D67" s="3" t="s">
        <v>45</v>
      </c>
      <c r="E67" s="3" t="s">
        <v>49</v>
      </c>
      <c r="F67" s="3">
        <v>432</v>
      </c>
      <c r="G67" s="3">
        <v>171</v>
      </c>
      <c r="H67" s="3">
        <v>280</v>
      </c>
      <c r="I67" s="3">
        <v>3024</v>
      </c>
      <c r="J67" s="3">
        <v>2285</v>
      </c>
      <c r="K67" s="3">
        <v>184</v>
      </c>
      <c r="L67" s="4" t="s">
        <v>37</v>
      </c>
      <c r="M67" s="5" t="s">
        <v>19</v>
      </c>
    </row>
    <row r="68" spans="1:13" hidden="1" x14ac:dyDescent="0.3">
      <c r="A68" s="3" t="s">
        <v>187</v>
      </c>
      <c r="B68" s="3" t="s">
        <v>43</v>
      </c>
      <c r="C68" s="3" t="s">
        <v>188</v>
      </c>
      <c r="D68" s="3" t="s">
        <v>45</v>
      </c>
      <c r="E68" s="3" t="s">
        <v>46</v>
      </c>
      <c r="F68" s="3">
        <v>4712</v>
      </c>
      <c r="G68" s="3">
        <v>568</v>
      </c>
      <c r="H68" s="3">
        <v>127</v>
      </c>
      <c r="I68" s="3">
        <v>84816</v>
      </c>
      <c r="J68" s="3">
        <v>84691</v>
      </c>
      <c r="K68" s="3">
        <v>100</v>
      </c>
      <c r="L68" s="4" t="s">
        <v>37</v>
      </c>
      <c r="M68" s="5" t="s">
        <v>31</v>
      </c>
    </row>
    <row r="69" spans="1:13" hidden="1" x14ac:dyDescent="0.3">
      <c r="A69" s="3" t="s">
        <v>189</v>
      </c>
      <c r="B69" s="3" t="s">
        <v>33</v>
      </c>
      <c r="C69" s="3" t="s">
        <v>190</v>
      </c>
      <c r="D69" s="3" t="s">
        <v>35</v>
      </c>
      <c r="E69" s="3" t="s">
        <v>36</v>
      </c>
      <c r="F69" s="3">
        <v>2610</v>
      </c>
      <c r="G69" s="3">
        <v>126</v>
      </c>
      <c r="H69" s="3">
        <v>288</v>
      </c>
      <c r="I69" s="3">
        <v>15660</v>
      </c>
      <c r="J69" s="3">
        <v>15145</v>
      </c>
      <c r="K69" s="3">
        <v>73</v>
      </c>
      <c r="L69" s="4" t="s">
        <v>37</v>
      </c>
      <c r="M69" s="5"/>
    </row>
    <row r="70" spans="1:13" hidden="1" x14ac:dyDescent="0.3">
      <c r="A70" s="3" t="s">
        <v>191</v>
      </c>
      <c r="B70" s="3" t="s">
        <v>14</v>
      </c>
      <c r="C70" s="3" t="s">
        <v>134</v>
      </c>
      <c r="D70" s="3" t="s">
        <v>22</v>
      </c>
      <c r="E70" s="3" t="s">
        <v>23</v>
      </c>
      <c r="F70" s="3">
        <v>1292</v>
      </c>
      <c r="G70" s="3">
        <v>626</v>
      </c>
      <c r="H70" s="3">
        <v>496</v>
      </c>
      <c r="I70" s="3">
        <v>25840</v>
      </c>
      <c r="J70" s="3">
        <v>24916</v>
      </c>
      <c r="K70" s="3">
        <v>149</v>
      </c>
      <c r="L70" s="4" t="s">
        <v>62</v>
      </c>
      <c r="M70" s="5" t="s">
        <v>31</v>
      </c>
    </row>
    <row r="71" spans="1:13" hidden="1" x14ac:dyDescent="0.3">
      <c r="A71" s="3" t="s">
        <v>192</v>
      </c>
      <c r="B71" s="3" t="s">
        <v>43</v>
      </c>
      <c r="C71" s="3" t="s">
        <v>193</v>
      </c>
      <c r="D71" s="3" t="s">
        <v>74</v>
      </c>
      <c r="E71" s="3" t="s">
        <v>75</v>
      </c>
      <c r="F71" s="3">
        <v>199</v>
      </c>
      <c r="G71" s="3">
        <v>772</v>
      </c>
      <c r="H71" s="3">
        <v>400</v>
      </c>
      <c r="I71" s="3">
        <v>3582</v>
      </c>
      <c r="J71" s="3">
        <v>2988</v>
      </c>
      <c r="K71" s="3">
        <v>43</v>
      </c>
      <c r="L71" s="4" t="s">
        <v>30</v>
      </c>
      <c r="M71" s="5"/>
    </row>
    <row r="72" spans="1:13" hidden="1" x14ac:dyDescent="0.3">
      <c r="A72" s="3" t="s">
        <v>194</v>
      </c>
      <c r="B72" s="3" t="s">
        <v>27</v>
      </c>
      <c r="C72" s="3" t="s">
        <v>195</v>
      </c>
      <c r="D72" s="3" t="s">
        <v>45</v>
      </c>
      <c r="E72" s="3" t="s">
        <v>68</v>
      </c>
      <c r="F72" s="3">
        <v>2551</v>
      </c>
      <c r="G72" s="3">
        <v>915</v>
      </c>
      <c r="H72" s="3">
        <v>205</v>
      </c>
      <c r="I72" s="3">
        <v>30612</v>
      </c>
      <c r="J72" s="3">
        <v>30360</v>
      </c>
      <c r="K72" s="3">
        <v>227</v>
      </c>
      <c r="L72" s="4" t="s">
        <v>30</v>
      </c>
      <c r="M72" s="5" t="s">
        <v>25</v>
      </c>
    </row>
    <row r="73" spans="1:13" hidden="1" x14ac:dyDescent="0.3">
      <c r="A73" s="3" t="s">
        <v>196</v>
      </c>
      <c r="B73" s="3" t="s">
        <v>27</v>
      </c>
      <c r="C73" s="3" t="s">
        <v>197</v>
      </c>
      <c r="D73" s="3" t="s">
        <v>16</v>
      </c>
      <c r="E73" s="3" t="s">
        <v>29</v>
      </c>
      <c r="F73" s="3">
        <v>296</v>
      </c>
      <c r="G73" s="3">
        <v>60</v>
      </c>
      <c r="H73" s="3">
        <v>141</v>
      </c>
      <c r="I73" s="3">
        <v>5624</v>
      </c>
      <c r="J73" s="3">
        <v>5239</v>
      </c>
      <c r="K73" s="3">
        <v>88</v>
      </c>
      <c r="L73" s="4" t="s">
        <v>37</v>
      </c>
      <c r="M73" s="5" t="s">
        <v>25</v>
      </c>
    </row>
    <row r="74" spans="1:13" x14ac:dyDescent="0.3">
      <c r="A74" s="3" t="s">
        <v>198</v>
      </c>
      <c r="B74" s="3" t="s">
        <v>43</v>
      </c>
      <c r="C74" s="3" t="s">
        <v>199</v>
      </c>
      <c r="D74" s="3" t="s">
        <v>35</v>
      </c>
      <c r="E74" s="3" t="s">
        <v>71</v>
      </c>
      <c r="F74" s="3">
        <v>4126</v>
      </c>
      <c r="G74" s="3">
        <v>426</v>
      </c>
      <c r="H74" s="3">
        <v>486</v>
      </c>
      <c r="I74" s="3">
        <v>78394</v>
      </c>
      <c r="J74" s="3">
        <v>77798</v>
      </c>
      <c r="K74" s="3">
        <v>88</v>
      </c>
      <c r="L74" s="4" t="s">
        <v>62</v>
      </c>
      <c r="M74" s="5" t="s">
        <v>38</v>
      </c>
    </row>
    <row r="75" spans="1:13" hidden="1" x14ac:dyDescent="0.3">
      <c r="A75" s="3" t="s">
        <v>200</v>
      </c>
      <c r="B75" s="3" t="s">
        <v>27</v>
      </c>
      <c r="C75" s="3" t="s">
        <v>201</v>
      </c>
      <c r="D75" s="3" t="s">
        <v>16</v>
      </c>
      <c r="E75" s="3" t="s">
        <v>29</v>
      </c>
      <c r="F75" s="3">
        <v>1855</v>
      </c>
      <c r="G75" s="3">
        <v>200</v>
      </c>
      <c r="H75" s="3">
        <v>174</v>
      </c>
      <c r="I75" s="3">
        <v>16695</v>
      </c>
      <c r="J75" s="3">
        <v>16330</v>
      </c>
      <c r="K75" s="3">
        <v>123</v>
      </c>
      <c r="L75" s="4" t="s">
        <v>30</v>
      </c>
      <c r="M75" s="5" t="s">
        <v>31</v>
      </c>
    </row>
    <row r="76" spans="1:13" x14ac:dyDescent="0.3">
      <c r="A76" s="3" t="s">
        <v>202</v>
      </c>
      <c r="B76" s="3" t="s">
        <v>33</v>
      </c>
      <c r="C76" s="3" t="s">
        <v>203</v>
      </c>
      <c r="D76" s="3" t="s">
        <v>16</v>
      </c>
      <c r="E76" s="3" t="s">
        <v>82</v>
      </c>
      <c r="F76" s="3">
        <v>1674</v>
      </c>
      <c r="G76" s="3">
        <v>929</v>
      </c>
      <c r="H76" s="3">
        <v>37</v>
      </c>
      <c r="I76" s="3">
        <v>21762</v>
      </c>
      <c r="J76" s="3">
        <v>20998</v>
      </c>
      <c r="K76" s="3">
        <v>255</v>
      </c>
      <c r="L76" s="4" t="s">
        <v>30</v>
      </c>
      <c r="M76" s="5" t="s">
        <v>38</v>
      </c>
    </row>
    <row r="77" spans="1:13" x14ac:dyDescent="0.3">
      <c r="A77" s="3" t="s">
        <v>204</v>
      </c>
      <c r="B77" s="3" t="s">
        <v>14</v>
      </c>
      <c r="C77" s="3" t="s">
        <v>205</v>
      </c>
      <c r="D77" s="3" t="s">
        <v>35</v>
      </c>
      <c r="E77" s="3" t="s">
        <v>149</v>
      </c>
      <c r="F77" s="3">
        <v>1121</v>
      </c>
      <c r="G77" s="3">
        <v>135</v>
      </c>
      <c r="H77" s="3">
        <v>18</v>
      </c>
      <c r="I77" s="3">
        <v>15694</v>
      </c>
      <c r="J77" s="3">
        <v>14957</v>
      </c>
      <c r="K77" s="3">
        <v>99</v>
      </c>
      <c r="L77" s="4" t="s">
        <v>30</v>
      </c>
      <c r="M77" s="5" t="s">
        <v>38</v>
      </c>
    </row>
    <row r="78" spans="1:13" hidden="1" x14ac:dyDescent="0.3">
      <c r="A78" s="3" t="s">
        <v>206</v>
      </c>
      <c r="B78" s="3" t="s">
        <v>43</v>
      </c>
      <c r="C78" s="3" t="s">
        <v>106</v>
      </c>
      <c r="D78" s="3" t="s">
        <v>35</v>
      </c>
      <c r="E78" s="3" t="s">
        <v>71</v>
      </c>
      <c r="F78" s="3">
        <v>1249</v>
      </c>
      <c r="G78" s="3">
        <v>116</v>
      </c>
      <c r="H78" s="3">
        <v>420</v>
      </c>
      <c r="I78" s="3">
        <v>8743</v>
      </c>
      <c r="J78" s="3">
        <v>8538</v>
      </c>
      <c r="K78" s="3">
        <v>63</v>
      </c>
      <c r="L78" s="4" t="s">
        <v>30</v>
      </c>
      <c r="M78" s="5"/>
    </row>
    <row r="79" spans="1:13" x14ac:dyDescent="0.3">
      <c r="A79" s="3" t="s">
        <v>207</v>
      </c>
      <c r="B79" s="3" t="s">
        <v>14</v>
      </c>
      <c r="C79" s="3" t="s">
        <v>164</v>
      </c>
      <c r="D79" s="3" t="s">
        <v>52</v>
      </c>
      <c r="E79" s="3" t="s">
        <v>132</v>
      </c>
      <c r="F79" s="3">
        <v>954</v>
      </c>
      <c r="G79" s="3">
        <v>324</v>
      </c>
      <c r="H79" s="3">
        <v>288</v>
      </c>
      <c r="I79" s="3">
        <v>19080</v>
      </c>
      <c r="J79" s="3">
        <v>18859</v>
      </c>
      <c r="K79" s="3">
        <v>21</v>
      </c>
      <c r="L79" s="4" t="s">
        <v>62</v>
      </c>
      <c r="M79" s="5" t="s">
        <v>38</v>
      </c>
    </row>
    <row r="80" spans="1:13" hidden="1" x14ac:dyDescent="0.3">
      <c r="A80" s="3" t="s">
        <v>208</v>
      </c>
      <c r="B80" s="3" t="s">
        <v>33</v>
      </c>
      <c r="C80" s="3" t="s">
        <v>209</v>
      </c>
      <c r="D80" s="3" t="s">
        <v>45</v>
      </c>
      <c r="E80" s="3" t="s">
        <v>88</v>
      </c>
      <c r="F80" s="3">
        <v>3068</v>
      </c>
      <c r="G80" s="3">
        <v>137</v>
      </c>
      <c r="H80" s="3">
        <v>329</v>
      </c>
      <c r="I80" s="3">
        <v>39884</v>
      </c>
      <c r="J80" s="3">
        <v>39404</v>
      </c>
      <c r="K80" s="3">
        <v>266</v>
      </c>
      <c r="L80" s="4" t="s">
        <v>37</v>
      </c>
      <c r="M80" s="5" t="s">
        <v>25</v>
      </c>
    </row>
    <row r="81" spans="1:13" hidden="1" x14ac:dyDescent="0.3">
      <c r="A81" s="3" t="s">
        <v>210</v>
      </c>
      <c r="B81" s="3" t="s">
        <v>33</v>
      </c>
      <c r="C81" s="3" t="s">
        <v>156</v>
      </c>
      <c r="D81" s="3" t="s">
        <v>35</v>
      </c>
      <c r="E81" s="3" t="s">
        <v>36</v>
      </c>
      <c r="F81" s="3">
        <v>2103</v>
      </c>
      <c r="G81" s="3">
        <v>892</v>
      </c>
      <c r="H81" s="3">
        <v>103</v>
      </c>
      <c r="I81" s="3">
        <v>39957</v>
      </c>
      <c r="J81" s="3">
        <v>39466</v>
      </c>
      <c r="K81" s="3">
        <v>28</v>
      </c>
      <c r="L81" s="4" t="s">
        <v>62</v>
      </c>
      <c r="M81" s="5"/>
    </row>
    <row r="82" spans="1:13" hidden="1" x14ac:dyDescent="0.3">
      <c r="A82" s="3" t="s">
        <v>211</v>
      </c>
      <c r="B82" s="3" t="s">
        <v>33</v>
      </c>
      <c r="C82" s="3" t="s">
        <v>212</v>
      </c>
      <c r="D82" s="3" t="s">
        <v>35</v>
      </c>
      <c r="E82" s="3" t="s">
        <v>36</v>
      </c>
      <c r="F82" s="3">
        <v>1816</v>
      </c>
      <c r="G82" s="3">
        <v>29</v>
      </c>
      <c r="H82" s="3">
        <v>41</v>
      </c>
      <c r="I82" s="3">
        <v>19976</v>
      </c>
      <c r="J82" s="3">
        <v>19262</v>
      </c>
      <c r="K82" s="3">
        <v>283</v>
      </c>
      <c r="L82" s="4" t="s">
        <v>30</v>
      </c>
      <c r="M82" s="5" t="s">
        <v>31</v>
      </c>
    </row>
    <row r="83" spans="1:13" hidden="1" x14ac:dyDescent="0.3">
      <c r="A83" s="3" t="s">
        <v>213</v>
      </c>
      <c r="B83" s="3" t="s">
        <v>33</v>
      </c>
      <c r="C83" s="3" t="s">
        <v>214</v>
      </c>
      <c r="D83" s="3" t="s">
        <v>52</v>
      </c>
      <c r="E83" s="3" t="s">
        <v>215</v>
      </c>
      <c r="F83" s="3">
        <v>725</v>
      </c>
      <c r="G83" s="3">
        <v>88</v>
      </c>
      <c r="H83" s="3">
        <v>428</v>
      </c>
      <c r="I83" s="3">
        <v>14500</v>
      </c>
      <c r="J83" s="3">
        <v>13637</v>
      </c>
      <c r="K83" s="3">
        <v>200</v>
      </c>
      <c r="L83" s="4" t="s">
        <v>216</v>
      </c>
      <c r="M83" s="5" t="s">
        <v>31</v>
      </c>
    </row>
    <row r="84" spans="1:13" hidden="1" x14ac:dyDescent="0.3">
      <c r="A84" s="3" t="s">
        <v>217</v>
      </c>
      <c r="B84" s="3" t="s">
        <v>27</v>
      </c>
      <c r="C84" s="3" t="s">
        <v>218</v>
      </c>
      <c r="D84" s="3" t="s">
        <v>74</v>
      </c>
      <c r="E84" s="3" t="s">
        <v>219</v>
      </c>
      <c r="F84" s="3">
        <v>1094</v>
      </c>
      <c r="G84" s="3">
        <v>472</v>
      </c>
      <c r="H84" s="3">
        <v>21</v>
      </c>
      <c r="I84" s="3">
        <v>9846</v>
      </c>
      <c r="J84" s="3">
        <v>9609</v>
      </c>
      <c r="K84" s="3">
        <v>112</v>
      </c>
      <c r="L84" s="4" t="s">
        <v>37</v>
      </c>
      <c r="M84" s="5"/>
    </row>
    <row r="85" spans="1:13" x14ac:dyDescent="0.3">
      <c r="A85" s="3" t="s">
        <v>220</v>
      </c>
      <c r="B85" s="3" t="s">
        <v>43</v>
      </c>
      <c r="C85" s="3" t="s">
        <v>221</v>
      </c>
      <c r="D85" s="3" t="s">
        <v>52</v>
      </c>
      <c r="E85" s="3" t="s">
        <v>59</v>
      </c>
      <c r="F85" s="3">
        <v>1841</v>
      </c>
      <c r="G85" s="3">
        <v>851</v>
      </c>
      <c r="H85" s="3">
        <v>342</v>
      </c>
      <c r="I85" s="3">
        <v>34979</v>
      </c>
      <c r="J85" s="3">
        <v>34154</v>
      </c>
      <c r="K85" s="3">
        <v>255</v>
      </c>
      <c r="L85" s="4" t="s">
        <v>62</v>
      </c>
      <c r="M85" s="5" t="s">
        <v>38</v>
      </c>
    </row>
    <row r="86" spans="1:13" hidden="1" x14ac:dyDescent="0.3">
      <c r="A86" s="3" t="s">
        <v>222</v>
      </c>
      <c r="B86" s="3" t="s">
        <v>33</v>
      </c>
      <c r="C86" s="3" t="s">
        <v>123</v>
      </c>
      <c r="D86" s="3" t="s">
        <v>52</v>
      </c>
      <c r="E86" s="3" t="s">
        <v>215</v>
      </c>
      <c r="F86" s="3">
        <v>4177</v>
      </c>
      <c r="G86" s="3">
        <v>569</v>
      </c>
      <c r="H86" s="3">
        <v>55</v>
      </c>
      <c r="I86" s="3">
        <v>25062</v>
      </c>
      <c r="J86" s="3">
        <v>24847</v>
      </c>
      <c r="K86" s="3">
        <v>230</v>
      </c>
      <c r="L86" s="4" t="s">
        <v>62</v>
      </c>
      <c r="M86" s="5" t="s">
        <v>19</v>
      </c>
    </row>
    <row r="87" spans="1:13" x14ac:dyDescent="0.3">
      <c r="A87" s="3" t="s">
        <v>223</v>
      </c>
      <c r="B87" s="3" t="s">
        <v>27</v>
      </c>
      <c r="C87" s="3" t="s">
        <v>224</v>
      </c>
      <c r="D87" s="3" t="s">
        <v>22</v>
      </c>
      <c r="E87" s="3" t="s">
        <v>104</v>
      </c>
      <c r="F87" s="3">
        <v>3428</v>
      </c>
      <c r="G87" s="3">
        <v>305</v>
      </c>
      <c r="H87" s="3">
        <v>85</v>
      </c>
      <c r="I87" s="3">
        <v>58276</v>
      </c>
      <c r="J87" s="3">
        <v>58052</v>
      </c>
      <c r="K87" s="3">
        <v>242</v>
      </c>
      <c r="L87" s="4" t="s">
        <v>160</v>
      </c>
      <c r="M87" s="5" t="s">
        <v>38</v>
      </c>
    </row>
    <row r="88" spans="1:13" hidden="1" x14ac:dyDescent="0.3">
      <c r="A88" s="3" t="s">
        <v>225</v>
      </c>
      <c r="B88" s="3" t="s">
        <v>14</v>
      </c>
      <c r="C88" s="3" t="s">
        <v>226</v>
      </c>
      <c r="D88" s="3" t="s">
        <v>74</v>
      </c>
      <c r="E88" s="3" t="s">
        <v>145</v>
      </c>
      <c r="F88" s="3">
        <v>1436</v>
      </c>
      <c r="G88" s="3">
        <v>765</v>
      </c>
      <c r="H88" s="3">
        <v>496</v>
      </c>
      <c r="I88" s="3">
        <v>12924</v>
      </c>
      <c r="J88" s="3">
        <v>12701</v>
      </c>
      <c r="K88" s="3">
        <v>197</v>
      </c>
      <c r="L88" s="4" t="s">
        <v>62</v>
      </c>
      <c r="M88" s="5" t="s">
        <v>31</v>
      </c>
    </row>
    <row r="89" spans="1:13" x14ac:dyDescent="0.3">
      <c r="A89" s="3" t="s">
        <v>227</v>
      </c>
      <c r="B89" s="3" t="s">
        <v>43</v>
      </c>
      <c r="C89" s="3" t="s">
        <v>228</v>
      </c>
      <c r="D89" s="3" t="s">
        <v>35</v>
      </c>
      <c r="E89" s="3" t="s">
        <v>71</v>
      </c>
      <c r="F89" s="3">
        <v>302</v>
      </c>
      <c r="G89" s="3">
        <v>47</v>
      </c>
      <c r="H89" s="3">
        <v>430</v>
      </c>
      <c r="I89" s="3">
        <v>5738</v>
      </c>
      <c r="J89" s="3">
        <v>4890</v>
      </c>
      <c r="K89" s="3">
        <v>25</v>
      </c>
      <c r="L89" s="4" t="s">
        <v>30</v>
      </c>
      <c r="M89" s="5" t="s">
        <v>38</v>
      </c>
    </row>
    <row r="90" spans="1:13" hidden="1" x14ac:dyDescent="0.3">
      <c r="A90" s="3" t="s">
        <v>229</v>
      </c>
      <c r="B90" s="3" t="s">
        <v>14</v>
      </c>
      <c r="C90" s="3" t="s">
        <v>230</v>
      </c>
      <c r="D90" s="3" t="s">
        <v>52</v>
      </c>
      <c r="E90" s="3" t="s">
        <v>132</v>
      </c>
      <c r="F90" s="3">
        <v>2214</v>
      </c>
      <c r="G90" s="3">
        <v>249</v>
      </c>
      <c r="H90" s="3">
        <v>152</v>
      </c>
      <c r="I90" s="3">
        <v>15498</v>
      </c>
      <c r="J90" s="3">
        <v>14800</v>
      </c>
      <c r="K90" s="3">
        <v>180</v>
      </c>
      <c r="L90" s="4" t="s">
        <v>37</v>
      </c>
      <c r="M90" s="5"/>
    </row>
    <row r="91" spans="1:13" x14ac:dyDescent="0.3">
      <c r="A91" s="3" t="s">
        <v>231</v>
      </c>
      <c r="B91" s="3" t="s">
        <v>33</v>
      </c>
      <c r="C91" s="3" t="s">
        <v>232</v>
      </c>
      <c r="D91" s="3" t="s">
        <v>52</v>
      </c>
      <c r="E91" s="3" t="s">
        <v>215</v>
      </c>
      <c r="F91" s="3">
        <v>3861</v>
      </c>
      <c r="G91" s="3">
        <v>960</v>
      </c>
      <c r="H91" s="3">
        <v>101</v>
      </c>
      <c r="I91" s="3">
        <v>69498</v>
      </c>
      <c r="J91" s="3">
        <v>68817</v>
      </c>
      <c r="K91" s="3">
        <v>297</v>
      </c>
      <c r="L91" s="4" t="s">
        <v>30</v>
      </c>
      <c r="M91" s="5" t="s">
        <v>38</v>
      </c>
    </row>
    <row r="92" spans="1:13" x14ac:dyDescent="0.3">
      <c r="A92" s="3" t="s">
        <v>233</v>
      </c>
      <c r="B92" s="3" t="s">
        <v>43</v>
      </c>
      <c r="C92" s="3" t="s">
        <v>234</v>
      </c>
      <c r="D92" s="3" t="s">
        <v>52</v>
      </c>
      <c r="E92" s="3" t="s">
        <v>59</v>
      </c>
      <c r="F92" s="3">
        <v>1263</v>
      </c>
      <c r="G92" s="3">
        <v>397</v>
      </c>
      <c r="H92" s="3">
        <v>357</v>
      </c>
      <c r="I92" s="3">
        <v>25260</v>
      </c>
      <c r="J92" s="3">
        <v>24615</v>
      </c>
      <c r="K92" s="3">
        <v>137</v>
      </c>
      <c r="L92" s="4" t="s">
        <v>37</v>
      </c>
      <c r="M92" s="5" t="s">
        <v>38</v>
      </c>
    </row>
    <row r="93" spans="1:13" hidden="1" x14ac:dyDescent="0.3">
      <c r="A93" s="3" t="s">
        <v>235</v>
      </c>
      <c r="B93" s="3" t="s">
        <v>14</v>
      </c>
      <c r="C93" s="3" t="s">
        <v>168</v>
      </c>
      <c r="D93" s="3" t="s">
        <v>35</v>
      </c>
      <c r="E93" s="3" t="s">
        <v>149</v>
      </c>
      <c r="F93" s="3">
        <v>3801</v>
      </c>
      <c r="G93" s="3">
        <v>967</v>
      </c>
      <c r="H93" s="3">
        <v>401</v>
      </c>
      <c r="I93" s="3">
        <v>38010</v>
      </c>
      <c r="J93" s="3">
        <v>37625</v>
      </c>
      <c r="K93" s="3">
        <v>236</v>
      </c>
      <c r="L93" s="4" t="s">
        <v>62</v>
      </c>
      <c r="M93" s="5" t="s">
        <v>31</v>
      </c>
    </row>
    <row r="94" spans="1:13" hidden="1" x14ac:dyDescent="0.3">
      <c r="A94" s="3" t="s">
        <v>236</v>
      </c>
      <c r="B94" s="3" t="s">
        <v>33</v>
      </c>
      <c r="C94" s="3" t="s">
        <v>237</v>
      </c>
      <c r="D94" s="3" t="s">
        <v>74</v>
      </c>
      <c r="E94" s="3" t="s">
        <v>85</v>
      </c>
      <c r="F94" s="3">
        <v>1431</v>
      </c>
      <c r="G94" s="3">
        <v>951</v>
      </c>
      <c r="H94" s="3">
        <v>26</v>
      </c>
      <c r="I94" s="3">
        <v>8586</v>
      </c>
      <c r="J94" s="3">
        <v>8396</v>
      </c>
      <c r="K94" s="3">
        <v>150</v>
      </c>
      <c r="L94" s="4" t="s">
        <v>37</v>
      </c>
      <c r="M94" s="5" t="s">
        <v>31</v>
      </c>
    </row>
    <row r="95" spans="1:13" hidden="1" x14ac:dyDescent="0.3">
      <c r="A95" s="3" t="s">
        <v>238</v>
      </c>
      <c r="B95" s="3" t="s">
        <v>33</v>
      </c>
      <c r="C95" s="3" t="s">
        <v>205</v>
      </c>
      <c r="D95" s="3" t="s">
        <v>52</v>
      </c>
      <c r="E95" s="3" t="s">
        <v>215</v>
      </c>
      <c r="F95" s="3">
        <v>2647</v>
      </c>
      <c r="G95" s="3">
        <v>304</v>
      </c>
      <c r="H95" s="3">
        <v>170</v>
      </c>
      <c r="I95" s="3">
        <v>18529</v>
      </c>
      <c r="J95" s="3">
        <v>17841</v>
      </c>
      <c r="K95" s="3">
        <v>46</v>
      </c>
      <c r="L95" s="4" t="s">
        <v>62</v>
      </c>
      <c r="M95" s="5" t="s">
        <v>31</v>
      </c>
    </row>
    <row r="96" spans="1:13" x14ac:dyDescent="0.3">
      <c r="A96" s="3" t="s">
        <v>239</v>
      </c>
      <c r="B96" s="3" t="s">
        <v>33</v>
      </c>
      <c r="C96" s="3" t="s">
        <v>240</v>
      </c>
      <c r="D96" s="3" t="s">
        <v>22</v>
      </c>
      <c r="E96" s="3" t="s">
        <v>113</v>
      </c>
      <c r="F96" s="3">
        <v>3182</v>
      </c>
      <c r="G96" s="3">
        <v>559</v>
      </c>
      <c r="H96" s="3">
        <v>160</v>
      </c>
      <c r="I96" s="3">
        <v>57276</v>
      </c>
      <c r="J96" s="3">
        <v>56890</v>
      </c>
      <c r="K96" s="3">
        <v>163</v>
      </c>
      <c r="L96" s="4" t="s">
        <v>62</v>
      </c>
      <c r="M96" s="5" t="s">
        <v>38</v>
      </c>
    </row>
    <row r="97" spans="1:13" hidden="1" x14ac:dyDescent="0.3">
      <c r="A97" s="3" t="s">
        <v>241</v>
      </c>
      <c r="B97" s="3" t="s">
        <v>14</v>
      </c>
      <c r="C97" s="3" t="s">
        <v>242</v>
      </c>
      <c r="D97" s="3" t="s">
        <v>52</v>
      </c>
      <c r="E97" s="3" t="s">
        <v>132</v>
      </c>
      <c r="F97" s="3">
        <v>1238</v>
      </c>
      <c r="G97" s="3">
        <v>366</v>
      </c>
      <c r="H97" s="3">
        <v>444</v>
      </c>
      <c r="I97" s="3">
        <v>19808</v>
      </c>
      <c r="J97" s="3">
        <v>19334</v>
      </c>
      <c r="K97" s="3">
        <v>123</v>
      </c>
      <c r="L97" s="4" t="s">
        <v>62</v>
      </c>
      <c r="M97" s="5"/>
    </row>
    <row r="98" spans="1:13" hidden="1" x14ac:dyDescent="0.3">
      <c r="A98" s="3" t="s">
        <v>243</v>
      </c>
      <c r="B98" s="3" t="s">
        <v>33</v>
      </c>
      <c r="C98" s="3" t="s">
        <v>244</v>
      </c>
      <c r="D98" s="3" t="s">
        <v>52</v>
      </c>
      <c r="E98" s="3" t="s">
        <v>215</v>
      </c>
      <c r="F98" s="3">
        <v>4739</v>
      </c>
      <c r="G98" s="3">
        <v>527</v>
      </c>
      <c r="H98" s="3">
        <v>135</v>
      </c>
      <c r="I98" s="3">
        <v>61607</v>
      </c>
      <c r="J98" s="3">
        <v>61333</v>
      </c>
      <c r="K98" s="3">
        <v>36</v>
      </c>
      <c r="L98" s="4" t="s">
        <v>95</v>
      </c>
      <c r="M98" s="5" t="s">
        <v>25</v>
      </c>
    </row>
    <row r="99" spans="1:13" x14ac:dyDescent="0.3">
      <c r="A99" s="3" t="s">
        <v>245</v>
      </c>
      <c r="B99" s="3" t="s">
        <v>14</v>
      </c>
      <c r="C99" s="3" t="s">
        <v>151</v>
      </c>
      <c r="D99" s="3" t="s">
        <v>35</v>
      </c>
      <c r="E99" s="3" t="s">
        <v>149</v>
      </c>
      <c r="F99" s="3">
        <v>1575</v>
      </c>
      <c r="G99" s="3">
        <v>771</v>
      </c>
      <c r="H99" s="3">
        <v>486</v>
      </c>
      <c r="I99" s="3">
        <v>25200</v>
      </c>
      <c r="J99" s="3">
        <v>24826</v>
      </c>
      <c r="K99" s="3">
        <v>17</v>
      </c>
      <c r="L99" s="4" t="s">
        <v>62</v>
      </c>
      <c r="M99" s="5" t="s">
        <v>38</v>
      </c>
    </row>
    <row r="100" spans="1:13" hidden="1" x14ac:dyDescent="0.3">
      <c r="A100" s="3" t="s">
        <v>246</v>
      </c>
      <c r="B100" s="3" t="s">
        <v>27</v>
      </c>
      <c r="C100" s="3" t="s">
        <v>247</v>
      </c>
      <c r="D100" s="3" t="s">
        <v>45</v>
      </c>
      <c r="E100" s="3" t="s">
        <v>68</v>
      </c>
      <c r="F100" s="3">
        <v>4171</v>
      </c>
      <c r="G100" s="3">
        <v>548</v>
      </c>
      <c r="H100" s="3">
        <v>86</v>
      </c>
      <c r="I100" s="3">
        <v>66736</v>
      </c>
      <c r="J100" s="3">
        <v>66634</v>
      </c>
      <c r="K100" s="3">
        <v>173</v>
      </c>
      <c r="L100" s="4" t="s">
        <v>62</v>
      </c>
      <c r="M100" s="5" t="s">
        <v>31</v>
      </c>
    </row>
    <row r="101" spans="1:13" hidden="1" x14ac:dyDescent="0.3">
      <c r="A101" s="3" t="s">
        <v>248</v>
      </c>
      <c r="B101" s="3" t="s">
        <v>27</v>
      </c>
      <c r="C101" s="3" t="s">
        <v>249</v>
      </c>
      <c r="D101" s="3" t="s">
        <v>74</v>
      </c>
      <c r="E101" s="3" t="s">
        <v>219</v>
      </c>
      <c r="F101" s="3">
        <v>1766</v>
      </c>
      <c r="G101" s="3">
        <v>92</v>
      </c>
      <c r="H101" s="3">
        <v>424</v>
      </c>
      <c r="I101" s="3">
        <v>24724</v>
      </c>
      <c r="J101" s="3">
        <v>24333</v>
      </c>
      <c r="K101" s="3">
        <v>52</v>
      </c>
      <c r="L101" s="4" t="s">
        <v>37</v>
      </c>
      <c r="M101" s="5"/>
    </row>
    <row r="102" spans="1:13" hidden="1" x14ac:dyDescent="0.3">
      <c r="A102" s="3" t="s">
        <v>250</v>
      </c>
      <c r="B102" s="3" t="s">
        <v>27</v>
      </c>
      <c r="C102" s="3" t="s">
        <v>199</v>
      </c>
      <c r="D102" s="3" t="s">
        <v>74</v>
      </c>
      <c r="E102" s="3" t="s">
        <v>219</v>
      </c>
      <c r="F102" s="3">
        <v>4450</v>
      </c>
      <c r="G102" s="3">
        <v>983</v>
      </c>
      <c r="H102" s="3">
        <v>143</v>
      </c>
      <c r="I102" s="3">
        <v>75650</v>
      </c>
      <c r="J102" s="3">
        <v>75008</v>
      </c>
      <c r="K102" s="3">
        <v>12</v>
      </c>
      <c r="L102" s="4" t="s">
        <v>62</v>
      </c>
      <c r="M102" s="5" t="s">
        <v>31</v>
      </c>
    </row>
    <row r="103" spans="1:13" hidden="1" x14ac:dyDescent="0.3">
      <c r="A103" s="3" t="s">
        <v>251</v>
      </c>
      <c r="B103" s="3" t="s">
        <v>14</v>
      </c>
      <c r="C103" s="3" t="s">
        <v>252</v>
      </c>
      <c r="D103" s="3" t="s">
        <v>16</v>
      </c>
      <c r="E103" s="3" t="s">
        <v>17</v>
      </c>
      <c r="F103" s="3">
        <v>1000</v>
      </c>
      <c r="G103" s="3">
        <v>978</v>
      </c>
      <c r="H103" s="3">
        <v>162</v>
      </c>
      <c r="I103" s="3">
        <v>6000</v>
      </c>
      <c r="J103" s="3">
        <v>5221</v>
      </c>
      <c r="K103" s="3">
        <v>223</v>
      </c>
      <c r="L103" s="4" t="s">
        <v>37</v>
      </c>
      <c r="M103" s="5" t="s">
        <v>25</v>
      </c>
    </row>
    <row r="104" spans="1:13" hidden="1" x14ac:dyDescent="0.3">
      <c r="A104" s="3" t="s">
        <v>253</v>
      </c>
      <c r="B104" s="3" t="s">
        <v>43</v>
      </c>
      <c r="C104" s="3" t="s">
        <v>254</v>
      </c>
      <c r="D104" s="3" t="s">
        <v>52</v>
      </c>
      <c r="E104" s="3" t="s">
        <v>59</v>
      </c>
      <c r="F104" s="3">
        <v>3689</v>
      </c>
      <c r="G104" s="3">
        <v>48</v>
      </c>
      <c r="H104" s="3">
        <v>306</v>
      </c>
      <c r="I104" s="3">
        <v>40579</v>
      </c>
      <c r="J104" s="3">
        <v>39588</v>
      </c>
      <c r="K104" s="3">
        <v>212</v>
      </c>
      <c r="L104" s="4" t="s">
        <v>37</v>
      </c>
      <c r="M104" s="5" t="s">
        <v>25</v>
      </c>
    </row>
    <row r="105" spans="1:13" hidden="1" x14ac:dyDescent="0.3">
      <c r="A105" s="3" t="s">
        <v>255</v>
      </c>
      <c r="B105" s="3" t="s">
        <v>27</v>
      </c>
      <c r="C105" s="3" t="s">
        <v>256</v>
      </c>
      <c r="D105" s="3" t="s">
        <v>35</v>
      </c>
      <c r="E105" s="3" t="s">
        <v>154</v>
      </c>
      <c r="F105" s="3">
        <v>3655</v>
      </c>
      <c r="G105" s="3">
        <v>568</v>
      </c>
      <c r="H105" s="3">
        <v>286</v>
      </c>
      <c r="I105" s="3">
        <v>32895</v>
      </c>
      <c r="J105" s="3">
        <v>32015</v>
      </c>
      <c r="K105" s="3">
        <v>199</v>
      </c>
      <c r="L105" s="4" t="s">
        <v>30</v>
      </c>
      <c r="M105" s="5" t="s">
        <v>31</v>
      </c>
    </row>
    <row r="106" spans="1:13" hidden="1" x14ac:dyDescent="0.3">
      <c r="A106" s="3" t="s">
        <v>257</v>
      </c>
      <c r="B106" s="3" t="s">
        <v>33</v>
      </c>
      <c r="C106" s="3" t="s">
        <v>258</v>
      </c>
      <c r="D106" s="3" t="s">
        <v>45</v>
      </c>
      <c r="E106" s="3" t="s">
        <v>88</v>
      </c>
      <c r="F106" s="3">
        <v>498</v>
      </c>
      <c r="G106" s="3">
        <v>38</v>
      </c>
      <c r="H106" s="3">
        <v>42</v>
      </c>
      <c r="I106" s="3">
        <v>4482</v>
      </c>
      <c r="J106" s="3">
        <v>3647</v>
      </c>
      <c r="K106" s="3">
        <v>32</v>
      </c>
      <c r="L106" s="4" t="s">
        <v>62</v>
      </c>
      <c r="M106" s="5" t="s">
        <v>19</v>
      </c>
    </row>
    <row r="107" spans="1:13" x14ac:dyDescent="0.3">
      <c r="A107" s="3" t="s">
        <v>259</v>
      </c>
      <c r="B107" s="3" t="s">
        <v>33</v>
      </c>
      <c r="C107" s="3" t="s">
        <v>260</v>
      </c>
      <c r="D107" s="3" t="s">
        <v>52</v>
      </c>
      <c r="E107" s="3" t="s">
        <v>215</v>
      </c>
      <c r="F107" s="3">
        <v>4619</v>
      </c>
      <c r="G107" s="3">
        <v>821</v>
      </c>
      <c r="H107" s="3">
        <v>499</v>
      </c>
      <c r="I107" s="3">
        <v>69285</v>
      </c>
      <c r="J107" s="3">
        <v>69141</v>
      </c>
      <c r="K107" s="3">
        <v>298</v>
      </c>
      <c r="L107" s="4" t="s">
        <v>30</v>
      </c>
      <c r="M107" s="5" t="s">
        <v>38</v>
      </c>
    </row>
    <row r="108" spans="1:13" hidden="1" x14ac:dyDescent="0.3">
      <c r="A108" s="3" t="s">
        <v>261</v>
      </c>
      <c r="B108" s="3" t="s">
        <v>27</v>
      </c>
      <c r="C108" s="3" t="s">
        <v>262</v>
      </c>
      <c r="D108" s="3" t="s">
        <v>52</v>
      </c>
      <c r="E108" s="3" t="s">
        <v>53</v>
      </c>
      <c r="F108" s="3">
        <v>4832</v>
      </c>
      <c r="G108" s="3">
        <v>893</v>
      </c>
      <c r="H108" s="3">
        <v>10</v>
      </c>
      <c r="I108" s="3">
        <v>91808</v>
      </c>
      <c r="J108" s="3">
        <v>91296</v>
      </c>
      <c r="K108" s="3">
        <v>182</v>
      </c>
      <c r="L108" s="4" t="s">
        <v>30</v>
      </c>
      <c r="M108" s="5"/>
    </row>
    <row r="109" spans="1:13" hidden="1" x14ac:dyDescent="0.3">
      <c r="A109" s="3" t="s">
        <v>263</v>
      </c>
      <c r="B109" s="3" t="s">
        <v>14</v>
      </c>
      <c r="C109" s="3" t="s">
        <v>264</v>
      </c>
      <c r="D109" s="3" t="s">
        <v>74</v>
      </c>
      <c r="E109" s="3" t="s">
        <v>145</v>
      </c>
      <c r="F109" s="3">
        <v>4050</v>
      </c>
      <c r="G109" s="3">
        <v>871</v>
      </c>
      <c r="H109" s="3">
        <v>347</v>
      </c>
      <c r="I109" s="3">
        <v>52650</v>
      </c>
      <c r="J109" s="3">
        <v>51755</v>
      </c>
      <c r="K109" s="3">
        <v>209</v>
      </c>
      <c r="L109" s="4" t="s">
        <v>30</v>
      </c>
      <c r="M109" s="5" t="s">
        <v>25</v>
      </c>
    </row>
    <row r="110" spans="1:13" hidden="1" x14ac:dyDescent="0.3">
      <c r="A110" s="3" t="s">
        <v>265</v>
      </c>
      <c r="B110" s="3" t="s">
        <v>14</v>
      </c>
      <c r="C110" s="3" t="s">
        <v>266</v>
      </c>
      <c r="D110" s="3" t="s">
        <v>35</v>
      </c>
      <c r="E110" s="3" t="s">
        <v>149</v>
      </c>
      <c r="F110" s="3">
        <v>3649</v>
      </c>
      <c r="G110" s="3">
        <v>215</v>
      </c>
      <c r="H110" s="3">
        <v>413</v>
      </c>
      <c r="I110" s="3">
        <v>25543</v>
      </c>
      <c r="J110" s="3">
        <v>24963</v>
      </c>
      <c r="K110" s="3">
        <v>167</v>
      </c>
      <c r="L110" s="4" t="s">
        <v>62</v>
      </c>
      <c r="M110" s="5" t="s">
        <v>31</v>
      </c>
    </row>
    <row r="111" spans="1:13" hidden="1" x14ac:dyDescent="0.3">
      <c r="A111" s="3" t="s">
        <v>267</v>
      </c>
      <c r="B111" s="3" t="s">
        <v>33</v>
      </c>
      <c r="C111" s="3" t="s">
        <v>268</v>
      </c>
      <c r="D111" s="3" t="s">
        <v>16</v>
      </c>
      <c r="E111" s="3" t="s">
        <v>82</v>
      </c>
      <c r="F111" s="3">
        <v>3523</v>
      </c>
      <c r="G111" s="3">
        <v>753</v>
      </c>
      <c r="H111" s="3">
        <v>482</v>
      </c>
      <c r="I111" s="3">
        <v>38753</v>
      </c>
      <c r="J111" s="3">
        <v>38579</v>
      </c>
      <c r="K111" s="3">
        <v>270</v>
      </c>
      <c r="L111" s="4" t="s">
        <v>37</v>
      </c>
      <c r="M111" s="5" t="s">
        <v>25</v>
      </c>
    </row>
    <row r="112" spans="1:13" hidden="1" x14ac:dyDescent="0.3">
      <c r="A112" s="3" t="s">
        <v>269</v>
      </c>
      <c r="B112" s="3" t="s">
        <v>27</v>
      </c>
      <c r="C112" s="3" t="s">
        <v>270</v>
      </c>
      <c r="D112" s="3" t="s">
        <v>52</v>
      </c>
      <c r="E112" s="3" t="s">
        <v>53</v>
      </c>
      <c r="F112" s="3">
        <v>2719</v>
      </c>
      <c r="G112" s="3">
        <v>17</v>
      </c>
      <c r="H112" s="3">
        <v>285</v>
      </c>
      <c r="I112" s="3">
        <v>40785</v>
      </c>
      <c r="J112" s="3">
        <v>40281</v>
      </c>
      <c r="K112" s="3">
        <v>40</v>
      </c>
      <c r="L112" s="4" t="s">
        <v>30</v>
      </c>
      <c r="M112" s="5" t="s">
        <v>25</v>
      </c>
    </row>
    <row r="113" spans="1:13" hidden="1" x14ac:dyDescent="0.3">
      <c r="A113" s="3" t="s">
        <v>271</v>
      </c>
      <c r="B113" s="3" t="s">
        <v>14</v>
      </c>
      <c r="C113" s="3" t="s">
        <v>272</v>
      </c>
      <c r="D113" s="3" t="s">
        <v>35</v>
      </c>
      <c r="E113" s="3" t="s">
        <v>149</v>
      </c>
      <c r="F113" s="3">
        <v>1957</v>
      </c>
      <c r="G113" s="3">
        <v>877</v>
      </c>
      <c r="H113" s="3">
        <v>238</v>
      </c>
      <c r="I113" s="3">
        <v>17613</v>
      </c>
      <c r="J113" s="3">
        <v>16865</v>
      </c>
      <c r="K113" s="3">
        <v>297</v>
      </c>
      <c r="L113" s="4" t="s">
        <v>62</v>
      </c>
      <c r="M113" s="5" t="s">
        <v>31</v>
      </c>
    </row>
    <row r="114" spans="1:13" hidden="1" x14ac:dyDescent="0.3">
      <c r="A114" s="3" t="s">
        <v>273</v>
      </c>
      <c r="B114" s="3" t="s">
        <v>14</v>
      </c>
      <c r="C114" s="3" t="s">
        <v>274</v>
      </c>
      <c r="D114" s="3" t="s">
        <v>45</v>
      </c>
      <c r="E114" s="3" t="s">
        <v>49</v>
      </c>
      <c r="F114" s="3">
        <v>4419</v>
      </c>
      <c r="G114" s="3">
        <v>236</v>
      </c>
      <c r="H114" s="3">
        <v>369</v>
      </c>
      <c r="I114" s="3">
        <v>44190</v>
      </c>
      <c r="J114" s="3">
        <v>43582</v>
      </c>
      <c r="K114" s="3">
        <v>10</v>
      </c>
      <c r="L114" s="4" t="s">
        <v>37</v>
      </c>
      <c r="M114" s="5" t="s">
        <v>19</v>
      </c>
    </row>
    <row r="115" spans="1:13" hidden="1" x14ac:dyDescent="0.3">
      <c r="A115" s="3" t="s">
        <v>275</v>
      </c>
      <c r="B115" s="3" t="s">
        <v>14</v>
      </c>
      <c r="C115" s="3" t="s">
        <v>276</v>
      </c>
      <c r="D115" s="3" t="s">
        <v>35</v>
      </c>
      <c r="E115" s="3" t="s">
        <v>149</v>
      </c>
      <c r="F115" s="3">
        <v>4000</v>
      </c>
      <c r="G115" s="3">
        <v>689</v>
      </c>
      <c r="H115" s="3">
        <v>488</v>
      </c>
      <c r="I115" s="3">
        <v>40000</v>
      </c>
      <c r="J115" s="3">
        <v>39569</v>
      </c>
      <c r="K115" s="3">
        <v>44</v>
      </c>
      <c r="L115" s="4" t="s">
        <v>62</v>
      </c>
      <c r="M115" s="5" t="s">
        <v>19</v>
      </c>
    </row>
    <row r="116" spans="1:13" x14ac:dyDescent="0.3">
      <c r="A116" s="3" t="s">
        <v>277</v>
      </c>
      <c r="B116" s="3" t="s">
        <v>14</v>
      </c>
      <c r="C116" s="3" t="s">
        <v>278</v>
      </c>
      <c r="D116" s="3" t="s">
        <v>52</v>
      </c>
      <c r="E116" s="3" t="s">
        <v>132</v>
      </c>
      <c r="F116" s="3">
        <v>2493</v>
      </c>
      <c r="G116" s="3">
        <v>97</v>
      </c>
      <c r="H116" s="3">
        <v>44</v>
      </c>
      <c r="I116" s="3">
        <v>42381</v>
      </c>
      <c r="J116" s="3">
        <v>41991</v>
      </c>
      <c r="K116" s="3">
        <v>242</v>
      </c>
      <c r="L116" s="4" t="s">
        <v>95</v>
      </c>
      <c r="M116" s="5" t="s">
        <v>38</v>
      </c>
    </row>
    <row r="117" spans="1:13" hidden="1" x14ac:dyDescent="0.3">
      <c r="A117" s="3" t="s">
        <v>279</v>
      </c>
      <c r="B117" s="3" t="s">
        <v>27</v>
      </c>
      <c r="C117" s="3" t="s">
        <v>280</v>
      </c>
      <c r="D117" s="3" t="s">
        <v>16</v>
      </c>
      <c r="E117" s="3" t="s">
        <v>29</v>
      </c>
      <c r="F117" s="3">
        <v>3704</v>
      </c>
      <c r="G117" s="3">
        <v>186</v>
      </c>
      <c r="H117" s="3">
        <v>458</v>
      </c>
      <c r="I117" s="3">
        <v>25928</v>
      </c>
      <c r="J117" s="3">
        <v>25081</v>
      </c>
      <c r="K117" s="3">
        <v>131</v>
      </c>
      <c r="L117" s="4" t="s">
        <v>30</v>
      </c>
      <c r="M117" s="5"/>
    </row>
    <row r="118" spans="1:13" x14ac:dyDescent="0.3">
      <c r="A118" s="3" t="s">
        <v>281</v>
      </c>
      <c r="B118" s="3" t="s">
        <v>14</v>
      </c>
      <c r="C118" s="3" t="s">
        <v>282</v>
      </c>
      <c r="D118" s="3" t="s">
        <v>52</v>
      </c>
      <c r="E118" s="3" t="s">
        <v>132</v>
      </c>
      <c r="F118" s="3">
        <v>1606</v>
      </c>
      <c r="G118" s="3">
        <v>451</v>
      </c>
      <c r="H118" s="3">
        <v>405</v>
      </c>
      <c r="I118" s="3">
        <v>20878</v>
      </c>
      <c r="J118" s="3">
        <v>20190</v>
      </c>
      <c r="K118" s="3">
        <v>219</v>
      </c>
      <c r="L118" s="4" t="s">
        <v>37</v>
      </c>
      <c r="M118" s="5" t="s">
        <v>38</v>
      </c>
    </row>
    <row r="119" spans="1:13" hidden="1" x14ac:dyDescent="0.3">
      <c r="A119" s="3" t="s">
        <v>283</v>
      </c>
      <c r="B119" s="3" t="s">
        <v>43</v>
      </c>
      <c r="C119" s="3" t="s">
        <v>282</v>
      </c>
      <c r="D119" s="3" t="s">
        <v>52</v>
      </c>
      <c r="E119" s="3" t="s">
        <v>59</v>
      </c>
      <c r="F119" s="3">
        <v>4551</v>
      </c>
      <c r="G119" s="3">
        <v>714</v>
      </c>
      <c r="H119" s="3">
        <v>207</v>
      </c>
      <c r="I119" s="3">
        <v>68265</v>
      </c>
      <c r="J119" s="3">
        <v>67754</v>
      </c>
      <c r="K119" s="3">
        <v>57</v>
      </c>
      <c r="L119" s="4" t="s">
        <v>62</v>
      </c>
      <c r="M119" s="5" t="s">
        <v>31</v>
      </c>
    </row>
    <row r="120" spans="1:13" hidden="1" x14ac:dyDescent="0.3">
      <c r="A120" s="3" t="s">
        <v>284</v>
      </c>
      <c r="B120" s="3" t="s">
        <v>33</v>
      </c>
      <c r="C120" s="3" t="s">
        <v>285</v>
      </c>
      <c r="D120" s="3" t="s">
        <v>16</v>
      </c>
      <c r="E120" s="3" t="s">
        <v>82</v>
      </c>
      <c r="F120" s="3">
        <v>1970</v>
      </c>
      <c r="G120" s="3">
        <v>675</v>
      </c>
      <c r="H120" s="3">
        <v>478</v>
      </c>
      <c r="I120" s="3">
        <v>9850</v>
      </c>
      <c r="J120" s="3">
        <v>8924</v>
      </c>
      <c r="K120" s="3">
        <v>117</v>
      </c>
      <c r="L120" s="4" t="s">
        <v>62</v>
      </c>
      <c r="M120" s="5"/>
    </row>
    <row r="121" spans="1:13" hidden="1" x14ac:dyDescent="0.3">
      <c r="A121" s="3" t="s">
        <v>286</v>
      </c>
      <c r="B121" s="3" t="s">
        <v>43</v>
      </c>
      <c r="C121" s="3" t="s">
        <v>168</v>
      </c>
      <c r="D121" s="3" t="s">
        <v>35</v>
      </c>
      <c r="E121" s="3" t="s">
        <v>71</v>
      </c>
      <c r="F121" s="3">
        <v>780</v>
      </c>
      <c r="G121" s="3">
        <v>928</v>
      </c>
      <c r="H121" s="3">
        <v>301</v>
      </c>
      <c r="I121" s="3">
        <v>8580</v>
      </c>
      <c r="J121" s="3">
        <v>8081</v>
      </c>
      <c r="K121" s="3">
        <v>91</v>
      </c>
      <c r="L121" s="4" t="s">
        <v>37</v>
      </c>
      <c r="M121" s="5" t="s">
        <v>31</v>
      </c>
    </row>
    <row r="122" spans="1:13" hidden="1" x14ac:dyDescent="0.3">
      <c r="A122" s="3" t="s">
        <v>287</v>
      </c>
      <c r="B122" s="3" t="s">
        <v>33</v>
      </c>
      <c r="C122" s="3" t="s">
        <v>268</v>
      </c>
      <c r="D122" s="3" t="s">
        <v>35</v>
      </c>
      <c r="E122" s="3" t="s">
        <v>36</v>
      </c>
      <c r="F122" s="3">
        <v>498</v>
      </c>
      <c r="G122" s="3">
        <v>701</v>
      </c>
      <c r="H122" s="3">
        <v>412</v>
      </c>
      <c r="I122" s="3">
        <v>4980</v>
      </c>
      <c r="J122" s="3">
        <v>4185</v>
      </c>
      <c r="K122" s="3">
        <v>185</v>
      </c>
      <c r="L122" s="4" t="s">
        <v>62</v>
      </c>
      <c r="M122" s="5"/>
    </row>
    <row r="123" spans="1:13" hidden="1" x14ac:dyDescent="0.3">
      <c r="A123" s="3" t="s">
        <v>288</v>
      </c>
      <c r="B123" s="3" t="s">
        <v>33</v>
      </c>
      <c r="C123" s="3" t="s">
        <v>274</v>
      </c>
      <c r="D123" s="3" t="s">
        <v>22</v>
      </c>
      <c r="E123" s="3" t="s">
        <v>113</v>
      </c>
      <c r="F123" s="3">
        <v>3432</v>
      </c>
      <c r="G123" s="3">
        <v>869</v>
      </c>
      <c r="H123" s="3">
        <v>123</v>
      </c>
      <c r="I123" s="3">
        <v>54912</v>
      </c>
      <c r="J123" s="3">
        <v>53916</v>
      </c>
      <c r="K123" s="3">
        <v>264</v>
      </c>
      <c r="L123" s="4" t="s">
        <v>37</v>
      </c>
      <c r="M123" s="5" t="s">
        <v>25</v>
      </c>
    </row>
    <row r="124" spans="1:13" hidden="1" x14ac:dyDescent="0.3">
      <c r="A124" s="3" t="s">
        <v>289</v>
      </c>
      <c r="B124" s="3" t="s">
        <v>33</v>
      </c>
      <c r="C124" s="3" t="s">
        <v>258</v>
      </c>
      <c r="D124" s="3" t="s">
        <v>35</v>
      </c>
      <c r="E124" s="3" t="s">
        <v>36</v>
      </c>
      <c r="F124" s="3">
        <v>4363</v>
      </c>
      <c r="G124" s="3">
        <v>649</v>
      </c>
      <c r="H124" s="3">
        <v>140</v>
      </c>
      <c r="I124" s="3">
        <v>21815</v>
      </c>
      <c r="J124" s="3">
        <v>21481</v>
      </c>
      <c r="K124" s="3">
        <v>157</v>
      </c>
      <c r="L124" s="4" t="s">
        <v>37</v>
      </c>
      <c r="M124" s="5" t="s">
        <v>19</v>
      </c>
    </row>
    <row r="125" spans="1:13" hidden="1" x14ac:dyDescent="0.3">
      <c r="A125" s="3" t="s">
        <v>290</v>
      </c>
      <c r="B125" s="3" t="s">
        <v>27</v>
      </c>
      <c r="C125" s="3" t="s">
        <v>291</v>
      </c>
      <c r="D125" s="3" t="s">
        <v>45</v>
      </c>
      <c r="E125" s="3" t="s">
        <v>68</v>
      </c>
      <c r="F125" s="3">
        <v>736</v>
      </c>
      <c r="G125" s="3">
        <v>771</v>
      </c>
      <c r="H125" s="3">
        <v>225</v>
      </c>
      <c r="I125" s="3">
        <v>5152</v>
      </c>
      <c r="J125" s="3">
        <v>4706</v>
      </c>
      <c r="K125" s="3">
        <v>19</v>
      </c>
      <c r="L125" s="4" t="s">
        <v>37</v>
      </c>
      <c r="M125" s="5" t="s">
        <v>19</v>
      </c>
    </row>
    <row r="126" spans="1:13" x14ac:dyDescent="0.3">
      <c r="A126" s="3" t="s">
        <v>292</v>
      </c>
      <c r="B126" s="3" t="s">
        <v>14</v>
      </c>
      <c r="C126" s="3" t="s">
        <v>293</v>
      </c>
      <c r="D126" s="3" t="s">
        <v>45</v>
      </c>
      <c r="E126" s="3" t="s">
        <v>49</v>
      </c>
      <c r="F126" s="3">
        <v>3811</v>
      </c>
      <c r="G126" s="3">
        <v>866</v>
      </c>
      <c r="H126" s="3">
        <v>216</v>
      </c>
      <c r="I126" s="3">
        <v>34299</v>
      </c>
      <c r="J126" s="3">
        <v>34088</v>
      </c>
      <c r="K126" s="3">
        <v>233</v>
      </c>
      <c r="L126" s="4" t="s">
        <v>30</v>
      </c>
      <c r="M126" s="5" t="s">
        <v>38</v>
      </c>
    </row>
    <row r="127" spans="1:13" hidden="1" x14ac:dyDescent="0.3">
      <c r="A127" s="3" t="s">
        <v>294</v>
      </c>
      <c r="B127" s="3" t="s">
        <v>33</v>
      </c>
      <c r="C127" s="3" t="s">
        <v>184</v>
      </c>
      <c r="D127" s="3" t="s">
        <v>45</v>
      </c>
      <c r="E127" s="3" t="s">
        <v>88</v>
      </c>
      <c r="F127" s="3">
        <v>4158</v>
      </c>
      <c r="G127" s="3">
        <v>167</v>
      </c>
      <c r="H127" s="3">
        <v>241</v>
      </c>
      <c r="I127" s="3">
        <v>45738</v>
      </c>
      <c r="J127" s="3">
        <v>45183</v>
      </c>
      <c r="K127" s="3">
        <v>142</v>
      </c>
      <c r="L127" s="4" t="s">
        <v>62</v>
      </c>
      <c r="M127" s="5"/>
    </row>
    <row r="128" spans="1:13" hidden="1" x14ac:dyDescent="0.3">
      <c r="A128" s="3" t="s">
        <v>295</v>
      </c>
      <c r="B128" s="3" t="s">
        <v>43</v>
      </c>
      <c r="C128" s="3" t="s">
        <v>224</v>
      </c>
      <c r="D128" s="3" t="s">
        <v>16</v>
      </c>
      <c r="E128" s="3" t="s">
        <v>65</v>
      </c>
      <c r="F128" s="3">
        <v>3452</v>
      </c>
      <c r="G128" s="3">
        <v>652</v>
      </c>
      <c r="H128" s="3">
        <v>442</v>
      </c>
      <c r="I128" s="3">
        <v>65588</v>
      </c>
      <c r="J128" s="3">
        <v>65049</v>
      </c>
      <c r="K128" s="3">
        <v>158</v>
      </c>
      <c r="L128" s="4" t="s">
        <v>62</v>
      </c>
      <c r="M128" s="5" t="s">
        <v>31</v>
      </c>
    </row>
    <row r="129" spans="1:13" hidden="1" x14ac:dyDescent="0.3">
      <c r="A129" s="3" t="s">
        <v>296</v>
      </c>
      <c r="B129" s="3" t="s">
        <v>14</v>
      </c>
      <c r="C129" s="3" t="s">
        <v>230</v>
      </c>
      <c r="D129" s="3" t="s">
        <v>52</v>
      </c>
      <c r="E129" s="3" t="s">
        <v>132</v>
      </c>
      <c r="F129" s="3">
        <v>3092</v>
      </c>
      <c r="G129" s="3">
        <v>106</v>
      </c>
      <c r="H129" s="3">
        <v>291</v>
      </c>
      <c r="I129" s="3">
        <v>27828</v>
      </c>
      <c r="J129" s="3">
        <v>27217</v>
      </c>
      <c r="K129" s="3">
        <v>102</v>
      </c>
      <c r="L129" s="4" t="s">
        <v>62</v>
      </c>
      <c r="M129" s="5"/>
    </row>
    <row r="130" spans="1:13" hidden="1" x14ac:dyDescent="0.3">
      <c r="A130" s="3" t="s">
        <v>297</v>
      </c>
      <c r="B130" s="3" t="s">
        <v>14</v>
      </c>
      <c r="C130" s="3" t="s">
        <v>64</v>
      </c>
      <c r="D130" s="3" t="s">
        <v>22</v>
      </c>
      <c r="E130" s="3" t="s">
        <v>23</v>
      </c>
      <c r="F130" s="3">
        <v>2147</v>
      </c>
      <c r="G130" s="3">
        <v>430</v>
      </c>
      <c r="H130" s="3">
        <v>393</v>
      </c>
      <c r="I130" s="3">
        <v>17176</v>
      </c>
      <c r="J130" s="3">
        <v>16483</v>
      </c>
      <c r="K130" s="3">
        <v>170</v>
      </c>
      <c r="L130" s="4" t="s">
        <v>30</v>
      </c>
      <c r="M130" s="5"/>
    </row>
    <row r="131" spans="1:13" x14ac:dyDescent="0.3">
      <c r="A131" s="3" t="s">
        <v>298</v>
      </c>
      <c r="B131" s="3" t="s">
        <v>27</v>
      </c>
      <c r="C131" s="3" t="s">
        <v>299</v>
      </c>
      <c r="D131" s="3" t="s">
        <v>16</v>
      </c>
      <c r="E131" s="3" t="s">
        <v>29</v>
      </c>
      <c r="F131" s="3">
        <v>2936</v>
      </c>
      <c r="G131" s="3">
        <v>439</v>
      </c>
      <c r="H131" s="3">
        <v>44</v>
      </c>
      <c r="I131" s="3">
        <v>38168</v>
      </c>
      <c r="J131" s="3">
        <v>37571</v>
      </c>
      <c r="K131" s="3">
        <v>22</v>
      </c>
      <c r="L131" s="4" t="s">
        <v>37</v>
      </c>
      <c r="M131" s="5" t="s">
        <v>38</v>
      </c>
    </row>
    <row r="132" spans="1:13" hidden="1" x14ac:dyDescent="0.3">
      <c r="A132" s="3" t="s">
        <v>300</v>
      </c>
      <c r="B132" s="3" t="s">
        <v>33</v>
      </c>
      <c r="C132" s="3" t="s">
        <v>168</v>
      </c>
      <c r="D132" s="3" t="s">
        <v>16</v>
      </c>
      <c r="E132" s="3" t="s">
        <v>82</v>
      </c>
      <c r="F132" s="3">
        <v>4840</v>
      </c>
      <c r="G132" s="3">
        <v>658</v>
      </c>
      <c r="H132" s="3">
        <v>211</v>
      </c>
      <c r="I132" s="3">
        <v>43560</v>
      </c>
      <c r="J132" s="3">
        <v>43225</v>
      </c>
      <c r="K132" s="3">
        <v>57</v>
      </c>
      <c r="L132" s="4" t="s">
        <v>62</v>
      </c>
      <c r="M132" s="5" t="s">
        <v>31</v>
      </c>
    </row>
    <row r="133" spans="1:13" hidden="1" x14ac:dyDescent="0.3">
      <c r="A133" s="3" t="s">
        <v>301</v>
      </c>
      <c r="B133" s="3" t="s">
        <v>33</v>
      </c>
      <c r="C133" s="3" t="s">
        <v>106</v>
      </c>
      <c r="D133" s="3" t="s">
        <v>35</v>
      </c>
      <c r="E133" s="3" t="s">
        <v>36</v>
      </c>
      <c r="F133" s="3">
        <v>1947</v>
      </c>
      <c r="G133" s="3">
        <v>842</v>
      </c>
      <c r="H133" s="3">
        <v>101</v>
      </c>
      <c r="I133" s="3">
        <v>21417</v>
      </c>
      <c r="J133" s="3">
        <v>20967</v>
      </c>
      <c r="K133" s="3">
        <v>186</v>
      </c>
      <c r="L133" s="4" t="s">
        <v>62</v>
      </c>
      <c r="M133" s="5" t="s">
        <v>25</v>
      </c>
    </row>
    <row r="134" spans="1:13" x14ac:dyDescent="0.3">
      <c r="A134" s="3" t="s">
        <v>302</v>
      </c>
      <c r="B134" s="3" t="s">
        <v>43</v>
      </c>
      <c r="C134" s="3" t="s">
        <v>303</v>
      </c>
      <c r="D134" s="3" t="s">
        <v>52</v>
      </c>
      <c r="E134" s="3" t="s">
        <v>59</v>
      </c>
      <c r="F134" s="3">
        <v>2072</v>
      </c>
      <c r="G134" s="3">
        <v>532</v>
      </c>
      <c r="H134" s="3">
        <v>71</v>
      </c>
      <c r="I134" s="3">
        <v>37296</v>
      </c>
      <c r="J134" s="3">
        <v>36467</v>
      </c>
      <c r="K134" s="3">
        <v>25</v>
      </c>
      <c r="L134" s="4" t="s">
        <v>30</v>
      </c>
      <c r="M134" s="5" t="s">
        <v>38</v>
      </c>
    </row>
    <row r="135" spans="1:13" hidden="1" x14ac:dyDescent="0.3">
      <c r="A135" s="3" t="s">
        <v>304</v>
      </c>
      <c r="B135" s="3" t="s">
        <v>14</v>
      </c>
      <c r="C135" s="3" t="s">
        <v>305</v>
      </c>
      <c r="D135" s="3" t="s">
        <v>16</v>
      </c>
      <c r="E135" s="3" t="s">
        <v>17</v>
      </c>
      <c r="F135" s="3">
        <v>3731</v>
      </c>
      <c r="G135" s="3">
        <v>115</v>
      </c>
      <c r="H135" s="3">
        <v>135</v>
      </c>
      <c r="I135" s="3">
        <v>55965</v>
      </c>
      <c r="J135" s="3">
        <v>55436</v>
      </c>
      <c r="K135" s="3">
        <v>103</v>
      </c>
      <c r="L135" s="4" t="s">
        <v>30</v>
      </c>
      <c r="M135" s="5" t="s">
        <v>19</v>
      </c>
    </row>
    <row r="136" spans="1:13" x14ac:dyDescent="0.3">
      <c r="A136" s="3" t="s">
        <v>306</v>
      </c>
      <c r="B136" s="3" t="s">
        <v>43</v>
      </c>
      <c r="C136" s="3" t="s">
        <v>307</v>
      </c>
      <c r="D136" s="3" t="s">
        <v>22</v>
      </c>
      <c r="E136" s="3" t="s">
        <v>56</v>
      </c>
      <c r="F136" s="3">
        <v>4213</v>
      </c>
      <c r="G136" s="3">
        <v>253</v>
      </c>
      <c r="H136" s="3">
        <v>434</v>
      </c>
      <c r="I136" s="3">
        <v>75834</v>
      </c>
      <c r="J136" s="3">
        <v>75437</v>
      </c>
      <c r="K136" s="3">
        <v>272</v>
      </c>
      <c r="L136" s="4" t="s">
        <v>62</v>
      </c>
      <c r="M136" s="5" t="s">
        <v>38</v>
      </c>
    </row>
    <row r="137" spans="1:13" x14ac:dyDescent="0.3">
      <c r="A137" s="3" t="s">
        <v>308</v>
      </c>
      <c r="B137" s="3" t="s">
        <v>33</v>
      </c>
      <c r="C137" s="3" t="s">
        <v>309</v>
      </c>
      <c r="D137" s="3" t="s">
        <v>22</v>
      </c>
      <c r="E137" s="3" t="s">
        <v>113</v>
      </c>
      <c r="F137" s="3">
        <v>3134</v>
      </c>
      <c r="G137" s="3">
        <v>888</v>
      </c>
      <c r="H137" s="3">
        <v>444</v>
      </c>
      <c r="I137" s="3">
        <v>21938</v>
      </c>
      <c r="J137" s="3">
        <v>21337</v>
      </c>
      <c r="K137" s="3">
        <v>130</v>
      </c>
      <c r="L137" s="4" t="s">
        <v>37</v>
      </c>
      <c r="M137" s="5" t="s">
        <v>38</v>
      </c>
    </row>
    <row r="138" spans="1:13" hidden="1" x14ac:dyDescent="0.3">
      <c r="A138" s="3" t="s">
        <v>310</v>
      </c>
      <c r="B138" s="3" t="s">
        <v>43</v>
      </c>
      <c r="C138" s="3" t="s">
        <v>115</v>
      </c>
      <c r="D138" s="3" t="s">
        <v>74</v>
      </c>
      <c r="E138" s="3" t="s">
        <v>75</v>
      </c>
      <c r="F138" s="3">
        <v>3008</v>
      </c>
      <c r="G138" s="3">
        <v>94</v>
      </c>
      <c r="H138" s="3">
        <v>37</v>
      </c>
      <c r="I138" s="3">
        <v>15040</v>
      </c>
      <c r="J138" s="3">
        <v>14639</v>
      </c>
      <c r="K138" s="3">
        <v>277</v>
      </c>
      <c r="L138" s="4" t="s">
        <v>62</v>
      </c>
      <c r="M138" s="5"/>
    </row>
    <row r="139" spans="1:13" hidden="1" x14ac:dyDescent="0.3">
      <c r="A139" s="3" t="s">
        <v>311</v>
      </c>
      <c r="B139" s="3" t="s">
        <v>14</v>
      </c>
      <c r="C139" s="3" t="s">
        <v>188</v>
      </c>
      <c r="D139" s="3" t="s">
        <v>52</v>
      </c>
      <c r="E139" s="3" t="s">
        <v>132</v>
      </c>
      <c r="F139" s="3">
        <v>305</v>
      </c>
      <c r="G139" s="3">
        <v>187</v>
      </c>
      <c r="H139" s="3">
        <v>243</v>
      </c>
      <c r="I139" s="3">
        <v>4575</v>
      </c>
      <c r="J139" s="3">
        <v>3704</v>
      </c>
      <c r="K139" s="3">
        <v>234</v>
      </c>
      <c r="L139" s="4" t="s">
        <v>62</v>
      </c>
      <c r="M139" s="5" t="s">
        <v>31</v>
      </c>
    </row>
    <row r="140" spans="1:13" hidden="1" x14ac:dyDescent="0.3">
      <c r="A140" s="3" t="s">
        <v>312</v>
      </c>
      <c r="B140" s="3" t="s">
        <v>27</v>
      </c>
      <c r="C140" s="3" t="s">
        <v>313</v>
      </c>
      <c r="D140" s="3" t="s">
        <v>22</v>
      </c>
      <c r="E140" s="3" t="s">
        <v>104</v>
      </c>
      <c r="F140" s="3">
        <v>2746</v>
      </c>
      <c r="G140" s="3">
        <v>156</v>
      </c>
      <c r="H140" s="3">
        <v>203</v>
      </c>
      <c r="I140" s="3">
        <v>32952</v>
      </c>
      <c r="J140" s="3">
        <v>32147</v>
      </c>
      <c r="K140" s="3">
        <v>147</v>
      </c>
      <c r="L140" s="4" t="s">
        <v>37</v>
      </c>
      <c r="M140" s="5" t="s">
        <v>19</v>
      </c>
    </row>
    <row r="141" spans="1:13" hidden="1" x14ac:dyDescent="0.3">
      <c r="A141" s="3" t="s">
        <v>314</v>
      </c>
      <c r="B141" s="3" t="s">
        <v>43</v>
      </c>
      <c r="C141" s="3" t="s">
        <v>315</v>
      </c>
      <c r="D141" s="3" t="s">
        <v>52</v>
      </c>
      <c r="E141" s="3" t="s">
        <v>59</v>
      </c>
      <c r="F141" s="3">
        <v>2291</v>
      </c>
      <c r="G141" s="3">
        <v>78</v>
      </c>
      <c r="H141" s="3">
        <v>485</v>
      </c>
      <c r="I141" s="3">
        <v>18328</v>
      </c>
      <c r="J141" s="3">
        <v>18101</v>
      </c>
      <c r="K141" s="3">
        <v>10</v>
      </c>
      <c r="L141" s="4" t="s">
        <v>316</v>
      </c>
      <c r="M141" s="5" t="s">
        <v>25</v>
      </c>
    </row>
    <row r="142" spans="1:13" hidden="1" x14ac:dyDescent="0.3">
      <c r="A142" s="3" t="s">
        <v>317</v>
      </c>
      <c r="B142" s="3" t="s">
        <v>14</v>
      </c>
      <c r="C142" s="3" t="s">
        <v>318</v>
      </c>
      <c r="D142" s="3" t="s">
        <v>52</v>
      </c>
      <c r="E142" s="3" t="s">
        <v>132</v>
      </c>
      <c r="F142" s="3">
        <v>3170</v>
      </c>
      <c r="G142" s="3">
        <v>857</v>
      </c>
      <c r="H142" s="3">
        <v>379</v>
      </c>
      <c r="I142" s="3">
        <v>19020</v>
      </c>
      <c r="J142" s="3">
        <v>18559</v>
      </c>
      <c r="K142" s="3">
        <v>240</v>
      </c>
      <c r="L142" s="4" t="s">
        <v>62</v>
      </c>
      <c r="M142" s="5"/>
    </row>
    <row r="143" spans="1:13" x14ac:dyDescent="0.3">
      <c r="A143" s="3" t="s">
        <v>319</v>
      </c>
      <c r="B143" s="3" t="s">
        <v>27</v>
      </c>
      <c r="C143" s="3" t="s">
        <v>264</v>
      </c>
      <c r="D143" s="3" t="s">
        <v>35</v>
      </c>
      <c r="E143" s="3" t="s">
        <v>154</v>
      </c>
      <c r="F143" s="3">
        <v>2070</v>
      </c>
      <c r="G143" s="3">
        <v>275</v>
      </c>
      <c r="H143" s="3">
        <v>386</v>
      </c>
      <c r="I143" s="3">
        <v>39330</v>
      </c>
      <c r="J143" s="3">
        <v>38627</v>
      </c>
      <c r="K143" s="3">
        <v>114</v>
      </c>
      <c r="L143" s="4" t="s">
        <v>62</v>
      </c>
      <c r="M143" s="5" t="s">
        <v>38</v>
      </c>
    </row>
    <row r="144" spans="1:13" hidden="1" x14ac:dyDescent="0.3">
      <c r="A144" s="3" t="s">
        <v>320</v>
      </c>
      <c r="B144" s="3" t="s">
        <v>27</v>
      </c>
      <c r="C144" s="3" t="s">
        <v>274</v>
      </c>
      <c r="D144" s="3" t="s">
        <v>45</v>
      </c>
      <c r="E144" s="3" t="s">
        <v>68</v>
      </c>
      <c r="F144" s="3">
        <v>80</v>
      </c>
      <c r="G144" s="3">
        <v>362</v>
      </c>
      <c r="H144" s="3">
        <v>80</v>
      </c>
      <c r="I144" s="3">
        <v>1040</v>
      </c>
      <c r="J144" s="3">
        <v>349</v>
      </c>
      <c r="K144" s="3">
        <v>117</v>
      </c>
      <c r="L144" s="4" t="s">
        <v>30</v>
      </c>
      <c r="M144" s="5" t="s">
        <v>31</v>
      </c>
    </row>
    <row r="145" spans="1:13" x14ac:dyDescent="0.3">
      <c r="A145" s="3" t="s">
        <v>321</v>
      </c>
      <c r="B145" s="3" t="s">
        <v>27</v>
      </c>
      <c r="C145" s="3" t="s">
        <v>201</v>
      </c>
      <c r="D145" s="3" t="s">
        <v>35</v>
      </c>
      <c r="E145" s="3" t="s">
        <v>154</v>
      </c>
      <c r="F145" s="3">
        <v>4929</v>
      </c>
      <c r="G145" s="3">
        <v>749</v>
      </c>
      <c r="H145" s="3">
        <v>452</v>
      </c>
      <c r="I145" s="3">
        <v>93651</v>
      </c>
      <c r="J145" s="3">
        <v>92810</v>
      </c>
      <c r="K145" s="3">
        <v>66</v>
      </c>
      <c r="L145" s="4" t="s">
        <v>37</v>
      </c>
      <c r="M145" s="5" t="s">
        <v>38</v>
      </c>
    </row>
    <row r="146" spans="1:13" x14ac:dyDescent="0.3">
      <c r="A146" s="3" t="s">
        <v>322</v>
      </c>
      <c r="B146" s="3" t="s">
        <v>33</v>
      </c>
      <c r="C146" s="3" t="s">
        <v>34</v>
      </c>
      <c r="D146" s="3" t="s">
        <v>45</v>
      </c>
      <c r="E146" s="3" t="s">
        <v>88</v>
      </c>
      <c r="F146" s="3">
        <v>1878</v>
      </c>
      <c r="G146" s="3">
        <v>62</v>
      </c>
      <c r="H146" s="3">
        <v>179</v>
      </c>
      <c r="I146" s="3">
        <v>37560</v>
      </c>
      <c r="J146" s="3">
        <v>36874</v>
      </c>
      <c r="K146" s="3">
        <v>142</v>
      </c>
      <c r="L146" s="4" t="s">
        <v>30</v>
      </c>
      <c r="M146" s="5" t="s">
        <v>38</v>
      </c>
    </row>
    <row r="147" spans="1:13" hidden="1" x14ac:dyDescent="0.3">
      <c r="A147" s="3" t="s">
        <v>323</v>
      </c>
      <c r="B147" s="3" t="s">
        <v>27</v>
      </c>
      <c r="C147" s="3" t="s">
        <v>324</v>
      </c>
      <c r="D147" s="3" t="s">
        <v>16</v>
      </c>
      <c r="E147" s="3" t="s">
        <v>29</v>
      </c>
      <c r="F147" s="3">
        <v>3065</v>
      </c>
      <c r="G147" s="3">
        <v>772</v>
      </c>
      <c r="H147" s="3">
        <v>142</v>
      </c>
      <c r="I147" s="3">
        <v>18390</v>
      </c>
      <c r="J147" s="3">
        <v>17875</v>
      </c>
      <c r="K147" s="3">
        <v>200</v>
      </c>
      <c r="L147" s="4" t="s">
        <v>325</v>
      </c>
      <c r="M147" s="5"/>
    </row>
    <row r="148" spans="1:13" hidden="1" x14ac:dyDescent="0.3">
      <c r="A148" s="3" t="s">
        <v>326</v>
      </c>
      <c r="B148" s="3" t="s">
        <v>33</v>
      </c>
      <c r="C148" s="3" t="s">
        <v>168</v>
      </c>
      <c r="D148" s="3" t="s">
        <v>16</v>
      </c>
      <c r="E148" s="3" t="s">
        <v>82</v>
      </c>
      <c r="F148" s="3">
        <v>3256</v>
      </c>
      <c r="G148" s="3">
        <v>459</v>
      </c>
      <c r="H148" s="3">
        <v>266</v>
      </c>
      <c r="I148" s="3">
        <v>26048</v>
      </c>
      <c r="J148" s="3">
        <v>25529</v>
      </c>
      <c r="K148" s="3">
        <v>143</v>
      </c>
      <c r="L148" s="4" t="s">
        <v>30</v>
      </c>
      <c r="M148" s="5" t="s">
        <v>25</v>
      </c>
    </row>
    <row r="149" spans="1:13" x14ac:dyDescent="0.3">
      <c r="A149" s="3" t="s">
        <v>327</v>
      </c>
      <c r="B149" s="3" t="s">
        <v>33</v>
      </c>
      <c r="C149" s="3" t="s">
        <v>170</v>
      </c>
      <c r="D149" s="3" t="s">
        <v>74</v>
      </c>
      <c r="E149" s="3" t="s">
        <v>85</v>
      </c>
      <c r="F149" s="3">
        <v>4133</v>
      </c>
      <c r="G149" s="3">
        <v>466</v>
      </c>
      <c r="H149" s="3">
        <v>327</v>
      </c>
      <c r="I149" s="3">
        <v>24798</v>
      </c>
      <c r="J149" s="3">
        <v>24620</v>
      </c>
      <c r="K149" s="3">
        <v>176</v>
      </c>
      <c r="L149" s="4" t="s">
        <v>37</v>
      </c>
      <c r="M149" s="5" t="s">
        <v>38</v>
      </c>
    </row>
    <row r="150" spans="1:13" hidden="1" x14ac:dyDescent="0.3">
      <c r="A150" s="3" t="s">
        <v>328</v>
      </c>
      <c r="B150" s="3" t="s">
        <v>14</v>
      </c>
      <c r="C150" s="3" t="s">
        <v>329</v>
      </c>
      <c r="D150" s="3" t="s">
        <v>74</v>
      </c>
      <c r="E150" s="3" t="s">
        <v>145</v>
      </c>
      <c r="F150" s="3">
        <v>1702</v>
      </c>
      <c r="G150" s="3">
        <v>750</v>
      </c>
      <c r="H150" s="3">
        <v>179</v>
      </c>
      <c r="I150" s="3">
        <v>34040</v>
      </c>
      <c r="J150" s="3">
        <v>33174</v>
      </c>
      <c r="K150" s="3">
        <v>76</v>
      </c>
      <c r="L150" s="4" t="s">
        <v>37</v>
      </c>
      <c r="M150" s="5" t="s">
        <v>19</v>
      </c>
    </row>
    <row r="151" spans="1:13" x14ac:dyDescent="0.3">
      <c r="A151" s="3" t="s">
        <v>330</v>
      </c>
      <c r="B151" s="3" t="s">
        <v>27</v>
      </c>
      <c r="C151" s="3" t="s">
        <v>331</v>
      </c>
      <c r="D151" s="3" t="s">
        <v>45</v>
      </c>
      <c r="E151" s="3" t="s">
        <v>68</v>
      </c>
      <c r="F151" s="3">
        <v>4295</v>
      </c>
      <c r="G151" s="3">
        <v>853</v>
      </c>
      <c r="H151" s="3">
        <v>325</v>
      </c>
      <c r="I151" s="3">
        <v>85900</v>
      </c>
      <c r="J151" s="3">
        <v>85788</v>
      </c>
      <c r="K151" s="3">
        <v>290</v>
      </c>
      <c r="L151" s="4" t="s">
        <v>30</v>
      </c>
      <c r="M151" s="5" t="s">
        <v>38</v>
      </c>
    </row>
    <row r="152" spans="1:13" hidden="1" x14ac:dyDescent="0.3">
      <c r="A152" s="3" t="s">
        <v>332</v>
      </c>
      <c r="B152" s="3" t="s">
        <v>33</v>
      </c>
      <c r="C152" s="3" t="s">
        <v>186</v>
      </c>
      <c r="D152" s="3" t="s">
        <v>52</v>
      </c>
      <c r="E152" s="3" t="s">
        <v>215</v>
      </c>
      <c r="F152" s="3">
        <v>3559</v>
      </c>
      <c r="G152" s="3">
        <v>59</v>
      </c>
      <c r="H152" s="3">
        <v>289</v>
      </c>
      <c r="I152" s="3">
        <v>35590</v>
      </c>
      <c r="J152" s="3">
        <v>35105</v>
      </c>
      <c r="K152" s="3">
        <v>122</v>
      </c>
      <c r="L152" s="4" t="s">
        <v>37</v>
      </c>
      <c r="M152" s="5" t="s">
        <v>19</v>
      </c>
    </row>
    <row r="153" spans="1:13" x14ac:dyDescent="0.3">
      <c r="A153" s="3" t="s">
        <v>333</v>
      </c>
      <c r="B153" s="3" t="s">
        <v>43</v>
      </c>
      <c r="C153" s="3" t="s">
        <v>334</v>
      </c>
      <c r="D153" s="3" t="s">
        <v>52</v>
      </c>
      <c r="E153" s="3" t="s">
        <v>59</v>
      </c>
      <c r="F153" s="3">
        <v>4804</v>
      </c>
      <c r="G153" s="3">
        <v>550</v>
      </c>
      <c r="H153" s="3">
        <v>270</v>
      </c>
      <c r="I153" s="3">
        <v>28824</v>
      </c>
      <c r="J153" s="3">
        <v>28370</v>
      </c>
      <c r="K153" s="3">
        <v>47</v>
      </c>
      <c r="L153" s="4" t="s">
        <v>37</v>
      </c>
      <c r="M153" s="5" t="s">
        <v>38</v>
      </c>
    </row>
    <row r="154" spans="1:13" hidden="1" x14ac:dyDescent="0.3">
      <c r="A154" s="3" t="s">
        <v>335</v>
      </c>
      <c r="B154" s="3" t="s">
        <v>14</v>
      </c>
      <c r="C154" s="3" t="s">
        <v>336</v>
      </c>
      <c r="D154" s="3" t="s">
        <v>74</v>
      </c>
      <c r="E154" s="3" t="s">
        <v>145</v>
      </c>
      <c r="F154" s="3">
        <v>754</v>
      </c>
      <c r="G154" s="3">
        <v>197</v>
      </c>
      <c r="H154" s="3">
        <v>257</v>
      </c>
      <c r="I154" s="3">
        <v>6786</v>
      </c>
      <c r="J154" s="3">
        <v>6221</v>
      </c>
      <c r="K154" s="3">
        <v>212</v>
      </c>
      <c r="L154" s="4" t="s">
        <v>30</v>
      </c>
      <c r="M154" s="5" t="s">
        <v>31</v>
      </c>
    </row>
    <row r="155" spans="1:13" x14ac:dyDescent="0.3">
      <c r="A155" s="3" t="s">
        <v>337</v>
      </c>
      <c r="B155" s="3" t="s">
        <v>33</v>
      </c>
      <c r="C155" s="3" t="s">
        <v>209</v>
      </c>
      <c r="D155" s="3" t="s">
        <v>45</v>
      </c>
      <c r="E155" s="3" t="s">
        <v>88</v>
      </c>
      <c r="F155" s="3">
        <v>985</v>
      </c>
      <c r="G155" s="3">
        <v>932</v>
      </c>
      <c r="H155" s="3">
        <v>287</v>
      </c>
      <c r="I155" s="3">
        <v>6895</v>
      </c>
      <c r="J155" s="3">
        <v>6757</v>
      </c>
      <c r="K155" s="3">
        <v>64</v>
      </c>
      <c r="L155" s="4" t="s">
        <v>62</v>
      </c>
      <c r="M155" s="5" t="s">
        <v>38</v>
      </c>
    </row>
    <row r="156" spans="1:13" hidden="1" x14ac:dyDescent="0.3">
      <c r="A156" s="3" t="s">
        <v>338</v>
      </c>
      <c r="B156" s="3" t="s">
        <v>27</v>
      </c>
      <c r="C156" s="3" t="s">
        <v>339</v>
      </c>
      <c r="D156" s="3" t="s">
        <v>52</v>
      </c>
      <c r="E156" s="3" t="s">
        <v>53</v>
      </c>
      <c r="F156" s="3">
        <v>2283</v>
      </c>
      <c r="G156" s="3">
        <v>210</v>
      </c>
      <c r="H156" s="3">
        <v>130</v>
      </c>
      <c r="I156" s="3">
        <v>22830</v>
      </c>
      <c r="J156" s="3">
        <v>22617</v>
      </c>
      <c r="K156" s="3">
        <v>143</v>
      </c>
      <c r="L156" s="4" t="s">
        <v>62</v>
      </c>
      <c r="M156" s="5" t="s">
        <v>25</v>
      </c>
    </row>
    <row r="157" spans="1:13" hidden="1" x14ac:dyDescent="0.3">
      <c r="A157" s="3" t="s">
        <v>340</v>
      </c>
      <c r="B157" s="3" t="s">
        <v>43</v>
      </c>
      <c r="C157" s="3" t="s">
        <v>341</v>
      </c>
      <c r="D157" s="3" t="s">
        <v>45</v>
      </c>
      <c r="E157" s="3" t="s">
        <v>46</v>
      </c>
      <c r="F157" s="3">
        <v>3352</v>
      </c>
      <c r="G157" s="3">
        <v>941</v>
      </c>
      <c r="H157" s="3">
        <v>482</v>
      </c>
      <c r="I157" s="3">
        <v>43576</v>
      </c>
      <c r="J157" s="3">
        <v>43338</v>
      </c>
      <c r="K157" s="3">
        <v>240</v>
      </c>
      <c r="L157" s="4" t="s">
        <v>62</v>
      </c>
      <c r="M157" s="5" t="s">
        <v>25</v>
      </c>
    </row>
    <row r="158" spans="1:13" hidden="1" x14ac:dyDescent="0.3">
      <c r="A158" s="3" t="s">
        <v>342</v>
      </c>
      <c r="B158" s="3" t="s">
        <v>27</v>
      </c>
      <c r="C158" s="3" t="s">
        <v>343</v>
      </c>
      <c r="D158" s="3" t="s">
        <v>35</v>
      </c>
      <c r="E158" s="3" t="s">
        <v>154</v>
      </c>
      <c r="F158" s="3">
        <v>4775</v>
      </c>
      <c r="G158" s="3">
        <v>173</v>
      </c>
      <c r="H158" s="3">
        <v>206</v>
      </c>
      <c r="I158" s="3">
        <v>47750</v>
      </c>
      <c r="J158" s="3">
        <v>47544</v>
      </c>
      <c r="K158" s="3">
        <v>187</v>
      </c>
      <c r="L158" s="4" t="s">
        <v>62</v>
      </c>
      <c r="M158" s="5" t="s">
        <v>25</v>
      </c>
    </row>
    <row r="159" spans="1:13" hidden="1" x14ac:dyDescent="0.3">
      <c r="A159" s="3" t="s">
        <v>344</v>
      </c>
      <c r="B159" s="3" t="s">
        <v>33</v>
      </c>
      <c r="C159" s="3" t="s">
        <v>345</v>
      </c>
      <c r="D159" s="3" t="s">
        <v>35</v>
      </c>
      <c r="E159" s="3" t="s">
        <v>36</v>
      </c>
      <c r="F159" s="3">
        <v>1762</v>
      </c>
      <c r="G159" s="3">
        <v>405</v>
      </c>
      <c r="H159" s="3">
        <v>423</v>
      </c>
      <c r="I159" s="3">
        <v>22906</v>
      </c>
      <c r="J159" s="3">
        <v>21925</v>
      </c>
      <c r="K159" s="3">
        <v>25</v>
      </c>
      <c r="L159" s="4" t="s">
        <v>30</v>
      </c>
      <c r="M159" s="5" t="s">
        <v>19</v>
      </c>
    </row>
    <row r="160" spans="1:13" hidden="1" x14ac:dyDescent="0.3">
      <c r="A160" s="3" t="s">
        <v>346</v>
      </c>
      <c r="B160" s="3" t="s">
        <v>43</v>
      </c>
      <c r="C160" s="3" t="s">
        <v>129</v>
      </c>
      <c r="D160" s="3" t="s">
        <v>35</v>
      </c>
      <c r="E160" s="3" t="s">
        <v>71</v>
      </c>
      <c r="F160" s="3">
        <v>2120</v>
      </c>
      <c r="G160" s="3">
        <v>158</v>
      </c>
      <c r="H160" s="3">
        <v>488</v>
      </c>
      <c r="I160" s="3">
        <v>12720</v>
      </c>
      <c r="J160" s="3">
        <v>12085</v>
      </c>
      <c r="K160" s="3">
        <v>17</v>
      </c>
      <c r="L160" s="4" t="s">
        <v>62</v>
      </c>
      <c r="M160" s="5" t="s">
        <v>25</v>
      </c>
    </row>
    <row r="161" spans="1:13" hidden="1" x14ac:dyDescent="0.3">
      <c r="A161" s="3" t="s">
        <v>347</v>
      </c>
      <c r="B161" s="3" t="s">
        <v>14</v>
      </c>
      <c r="C161" s="3" t="s">
        <v>348</v>
      </c>
      <c r="D161" s="3" t="s">
        <v>74</v>
      </c>
      <c r="E161" s="3" t="s">
        <v>145</v>
      </c>
      <c r="F161" s="3">
        <v>1082</v>
      </c>
      <c r="G161" s="3">
        <v>209</v>
      </c>
      <c r="H161" s="3">
        <v>484</v>
      </c>
      <c r="I161" s="3">
        <v>19476</v>
      </c>
      <c r="J161" s="3">
        <v>18654</v>
      </c>
      <c r="K161" s="3">
        <v>20</v>
      </c>
      <c r="L161" s="4" t="s">
        <v>30</v>
      </c>
      <c r="M161" s="5"/>
    </row>
    <row r="162" spans="1:13" x14ac:dyDescent="0.3">
      <c r="A162" s="3" t="s">
        <v>349</v>
      </c>
      <c r="B162" s="3" t="s">
        <v>14</v>
      </c>
      <c r="C162" s="3" t="s">
        <v>350</v>
      </c>
      <c r="D162" s="3" t="s">
        <v>22</v>
      </c>
      <c r="E162" s="3" t="s">
        <v>23</v>
      </c>
      <c r="F162" s="3">
        <v>4671</v>
      </c>
      <c r="G162" s="3">
        <v>876</v>
      </c>
      <c r="H162" s="3">
        <v>366</v>
      </c>
      <c r="I162" s="3">
        <v>51381</v>
      </c>
      <c r="J162" s="3">
        <v>50565</v>
      </c>
      <c r="K162" s="3">
        <v>245</v>
      </c>
      <c r="L162" s="4" t="s">
        <v>30</v>
      </c>
      <c r="M162" s="5" t="s">
        <v>38</v>
      </c>
    </row>
    <row r="163" spans="1:13" hidden="1" x14ac:dyDescent="0.3">
      <c r="A163" s="3" t="s">
        <v>351</v>
      </c>
      <c r="B163" s="3" t="s">
        <v>43</v>
      </c>
      <c r="C163" s="3" t="s">
        <v>352</v>
      </c>
      <c r="D163" s="3" t="s">
        <v>35</v>
      </c>
      <c r="E163" s="3" t="s">
        <v>71</v>
      </c>
      <c r="F163" s="3">
        <v>3430</v>
      </c>
      <c r="G163" s="3">
        <v>566</v>
      </c>
      <c r="H163" s="3">
        <v>164</v>
      </c>
      <c r="I163" s="3">
        <v>48020</v>
      </c>
      <c r="J163" s="3">
        <v>47305</v>
      </c>
      <c r="K163" s="3">
        <v>120</v>
      </c>
      <c r="L163" s="4" t="s">
        <v>62</v>
      </c>
      <c r="M163" s="5"/>
    </row>
    <row r="164" spans="1:13" hidden="1" x14ac:dyDescent="0.3">
      <c r="A164" s="3" t="s">
        <v>353</v>
      </c>
      <c r="B164" s="3" t="s">
        <v>33</v>
      </c>
      <c r="C164" s="3" t="s">
        <v>354</v>
      </c>
      <c r="D164" s="3" t="s">
        <v>52</v>
      </c>
      <c r="E164" s="3" t="s">
        <v>215</v>
      </c>
      <c r="F164" s="3">
        <v>4501</v>
      </c>
      <c r="G164" s="3">
        <v>375</v>
      </c>
      <c r="H164" s="3">
        <v>323</v>
      </c>
      <c r="I164" s="3">
        <v>22505</v>
      </c>
      <c r="J164" s="3">
        <v>21836</v>
      </c>
      <c r="K164" s="3">
        <v>132</v>
      </c>
      <c r="L164" s="4" t="s">
        <v>30</v>
      </c>
      <c r="M164" s="5" t="s">
        <v>25</v>
      </c>
    </row>
    <row r="165" spans="1:13" x14ac:dyDescent="0.3">
      <c r="A165" s="3" t="s">
        <v>355</v>
      </c>
      <c r="B165" s="3" t="s">
        <v>27</v>
      </c>
      <c r="C165" s="3" t="s">
        <v>92</v>
      </c>
      <c r="D165" s="3" t="s">
        <v>22</v>
      </c>
      <c r="E165" s="3" t="s">
        <v>104</v>
      </c>
      <c r="F165" s="3">
        <v>4934</v>
      </c>
      <c r="G165" s="3">
        <v>971</v>
      </c>
      <c r="H165" s="3">
        <v>156</v>
      </c>
      <c r="I165" s="3">
        <v>39472</v>
      </c>
      <c r="J165" s="3">
        <v>39025</v>
      </c>
      <c r="K165" s="3">
        <v>169</v>
      </c>
      <c r="L165" s="4" t="s">
        <v>95</v>
      </c>
      <c r="M165" s="5" t="s">
        <v>38</v>
      </c>
    </row>
    <row r="166" spans="1:13" hidden="1" x14ac:dyDescent="0.3">
      <c r="A166" s="3" t="s">
        <v>356</v>
      </c>
      <c r="B166" s="3" t="s">
        <v>14</v>
      </c>
      <c r="C166" s="3" t="s">
        <v>237</v>
      </c>
      <c r="D166" s="3" t="s">
        <v>22</v>
      </c>
      <c r="E166" s="3" t="s">
        <v>23</v>
      </c>
      <c r="F166" s="3">
        <v>3239</v>
      </c>
      <c r="G166" s="3">
        <v>43</v>
      </c>
      <c r="H166" s="3">
        <v>211</v>
      </c>
      <c r="I166" s="3">
        <v>22673</v>
      </c>
      <c r="J166" s="3">
        <v>22171</v>
      </c>
      <c r="K166" s="3">
        <v>230</v>
      </c>
      <c r="L166" s="4" t="s">
        <v>30</v>
      </c>
      <c r="M166" s="5" t="s">
        <v>25</v>
      </c>
    </row>
    <row r="167" spans="1:13" hidden="1" x14ac:dyDescent="0.3">
      <c r="A167" s="3" t="s">
        <v>357</v>
      </c>
      <c r="B167" s="3" t="s">
        <v>14</v>
      </c>
      <c r="C167" s="3" t="s">
        <v>70</v>
      </c>
      <c r="D167" s="3" t="s">
        <v>16</v>
      </c>
      <c r="E167" s="3" t="s">
        <v>17</v>
      </c>
      <c r="F167" s="3">
        <v>1076</v>
      </c>
      <c r="G167" s="3">
        <v>313</v>
      </c>
      <c r="H167" s="3">
        <v>306</v>
      </c>
      <c r="I167" s="3">
        <v>11836</v>
      </c>
      <c r="J167" s="3">
        <v>11596</v>
      </c>
      <c r="K167" s="3">
        <v>104</v>
      </c>
      <c r="L167" s="4" t="s">
        <v>62</v>
      </c>
      <c r="M167" s="5" t="s">
        <v>19</v>
      </c>
    </row>
    <row r="168" spans="1:13" hidden="1" x14ac:dyDescent="0.3">
      <c r="A168" s="3" t="s">
        <v>358</v>
      </c>
      <c r="B168" s="3" t="s">
        <v>33</v>
      </c>
      <c r="C168" s="3" t="s">
        <v>307</v>
      </c>
      <c r="D168" s="3" t="s">
        <v>22</v>
      </c>
      <c r="E168" s="3" t="s">
        <v>113</v>
      </c>
      <c r="F168" s="3">
        <v>4771</v>
      </c>
      <c r="G168" s="3">
        <v>818</v>
      </c>
      <c r="H168" s="3">
        <v>56</v>
      </c>
      <c r="I168" s="3">
        <v>57252</v>
      </c>
      <c r="J168" s="3">
        <v>56378</v>
      </c>
      <c r="K168" s="3">
        <v>150</v>
      </c>
      <c r="L168" s="4" t="s">
        <v>62</v>
      </c>
      <c r="M168" s="5"/>
    </row>
    <row r="169" spans="1:13" hidden="1" x14ac:dyDescent="0.3">
      <c r="A169" s="3" t="s">
        <v>359</v>
      </c>
      <c r="B169" s="3" t="s">
        <v>43</v>
      </c>
      <c r="C169" s="3" t="s">
        <v>360</v>
      </c>
      <c r="D169" s="3" t="s">
        <v>22</v>
      </c>
      <c r="E169" s="3" t="s">
        <v>56</v>
      </c>
      <c r="F169" s="3">
        <v>2418</v>
      </c>
      <c r="G169" s="3">
        <v>754</v>
      </c>
      <c r="H169" s="3">
        <v>54</v>
      </c>
      <c r="I169" s="3">
        <v>43524</v>
      </c>
      <c r="J169" s="3">
        <v>42743</v>
      </c>
      <c r="K169" s="3">
        <v>182</v>
      </c>
      <c r="L169" s="4" t="s">
        <v>37</v>
      </c>
      <c r="M169" s="5" t="s">
        <v>19</v>
      </c>
    </row>
    <row r="170" spans="1:13" hidden="1" x14ac:dyDescent="0.3">
      <c r="A170" s="3" t="s">
        <v>361</v>
      </c>
      <c r="B170" s="3" t="s">
        <v>27</v>
      </c>
      <c r="C170" s="3" t="s">
        <v>362</v>
      </c>
      <c r="D170" s="3" t="s">
        <v>74</v>
      </c>
      <c r="E170" s="3" t="s">
        <v>219</v>
      </c>
      <c r="F170" s="3">
        <v>3809</v>
      </c>
      <c r="G170" s="3">
        <v>273</v>
      </c>
      <c r="H170" s="3">
        <v>200</v>
      </c>
      <c r="I170" s="3">
        <v>34281</v>
      </c>
      <c r="J170" s="3">
        <v>33534</v>
      </c>
      <c r="K170" s="3">
        <v>83</v>
      </c>
      <c r="L170" s="4" t="s">
        <v>37</v>
      </c>
      <c r="M170" s="5" t="s">
        <v>19</v>
      </c>
    </row>
    <row r="171" spans="1:13" hidden="1" x14ac:dyDescent="0.3">
      <c r="A171" s="3" t="s">
        <v>363</v>
      </c>
      <c r="B171" s="3" t="s">
        <v>14</v>
      </c>
      <c r="C171" s="3" t="s">
        <v>364</v>
      </c>
      <c r="D171" s="3" t="s">
        <v>22</v>
      </c>
      <c r="E171" s="3" t="s">
        <v>23</v>
      </c>
      <c r="F171" s="3">
        <v>3577</v>
      </c>
      <c r="G171" s="3">
        <v>596</v>
      </c>
      <c r="H171" s="3">
        <v>493</v>
      </c>
      <c r="I171" s="3">
        <v>67963</v>
      </c>
      <c r="J171" s="3">
        <v>67839</v>
      </c>
      <c r="K171" s="3">
        <v>53</v>
      </c>
      <c r="L171" s="4" t="s">
        <v>30</v>
      </c>
      <c r="M171" s="5" t="s">
        <v>31</v>
      </c>
    </row>
    <row r="172" spans="1:13" hidden="1" x14ac:dyDescent="0.3">
      <c r="A172" s="3" t="s">
        <v>365</v>
      </c>
      <c r="B172" s="3" t="s">
        <v>27</v>
      </c>
      <c r="C172" s="3" t="s">
        <v>366</v>
      </c>
      <c r="D172" s="3" t="s">
        <v>74</v>
      </c>
      <c r="E172" s="3" t="s">
        <v>219</v>
      </c>
      <c r="F172" s="3">
        <v>1018</v>
      </c>
      <c r="G172" s="3">
        <v>447</v>
      </c>
      <c r="H172" s="3">
        <v>332</v>
      </c>
      <c r="I172" s="3">
        <v>18324</v>
      </c>
      <c r="J172" s="3">
        <v>18164</v>
      </c>
      <c r="K172" s="3">
        <v>38</v>
      </c>
      <c r="L172" s="4" t="s">
        <v>62</v>
      </c>
      <c r="M172" s="5" t="s">
        <v>25</v>
      </c>
    </row>
    <row r="173" spans="1:13" hidden="1" x14ac:dyDescent="0.3">
      <c r="A173" s="3" t="s">
        <v>367</v>
      </c>
      <c r="B173" s="3" t="s">
        <v>43</v>
      </c>
      <c r="C173" s="3" t="s">
        <v>368</v>
      </c>
      <c r="D173" s="3" t="s">
        <v>45</v>
      </c>
      <c r="E173" s="3" t="s">
        <v>46</v>
      </c>
      <c r="F173" s="3">
        <v>3073</v>
      </c>
      <c r="G173" s="3">
        <v>553</v>
      </c>
      <c r="H173" s="3">
        <v>174</v>
      </c>
      <c r="I173" s="3">
        <v>52241</v>
      </c>
      <c r="J173" s="3">
        <v>51605</v>
      </c>
      <c r="K173" s="3">
        <v>246</v>
      </c>
      <c r="L173" s="4" t="s">
        <v>37</v>
      </c>
      <c r="M173" s="5" t="s">
        <v>31</v>
      </c>
    </row>
    <row r="174" spans="1:13" hidden="1" x14ac:dyDescent="0.3">
      <c r="A174" s="3" t="s">
        <v>369</v>
      </c>
      <c r="B174" s="3" t="s">
        <v>14</v>
      </c>
      <c r="C174" s="3" t="s">
        <v>370</v>
      </c>
      <c r="D174" s="3" t="s">
        <v>74</v>
      </c>
      <c r="E174" s="3" t="s">
        <v>145</v>
      </c>
      <c r="F174" s="3">
        <v>1330</v>
      </c>
      <c r="G174" s="3">
        <v>925</v>
      </c>
      <c r="H174" s="3">
        <v>35</v>
      </c>
      <c r="I174" s="3">
        <v>15960</v>
      </c>
      <c r="J174" s="3">
        <v>15379</v>
      </c>
      <c r="K174" s="3">
        <v>229</v>
      </c>
      <c r="L174" s="4" t="s">
        <v>62</v>
      </c>
      <c r="M174" s="5" t="s">
        <v>31</v>
      </c>
    </row>
    <row r="175" spans="1:13" hidden="1" x14ac:dyDescent="0.3">
      <c r="A175" s="3" t="s">
        <v>371</v>
      </c>
      <c r="B175" s="3" t="s">
        <v>43</v>
      </c>
      <c r="C175" s="3" t="s">
        <v>172</v>
      </c>
      <c r="D175" s="3" t="s">
        <v>22</v>
      </c>
      <c r="E175" s="3" t="s">
        <v>56</v>
      </c>
      <c r="F175" s="3">
        <v>3828</v>
      </c>
      <c r="G175" s="3">
        <v>148</v>
      </c>
      <c r="H175" s="3">
        <v>253</v>
      </c>
      <c r="I175" s="3">
        <v>30624</v>
      </c>
      <c r="J175" s="3">
        <v>30229</v>
      </c>
      <c r="K175" s="3">
        <v>235</v>
      </c>
      <c r="L175" s="4" t="s">
        <v>37</v>
      </c>
      <c r="M175" s="5"/>
    </row>
    <row r="176" spans="1:13" x14ac:dyDescent="0.3">
      <c r="A176" s="3" t="s">
        <v>372</v>
      </c>
      <c r="B176" s="3" t="s">
        <v>33</v>
      </c>
      <c r="C176" s="3" t="s">
        <v>373</v>
      </c>
      <c r="D176" s="3" t="s">
        <v>16</v>
      </c>
      <c r="E176" s="3" t="s">
        <v>82</v>
      </c>
      <c r="F176" s="3">
        <v>142</v>
      </c>
      <c r="G176" s="3">
        <v>784</v>
      </c>
      <c r="H176" s="3">
        <v>183</v>
      </c>
      <c r="I176" s="3">
        <v>1704</v>
      </c>
      <c r="J176" s="3">
        <v>995</v>
      </c>
      <c r="K176" s="3">
        <v>154</v>
      </c>
      <c r="L176" s="4" t="s">
        <v>62</v>
      </c>
      <c r="M176" s="5" t="s">
        <v>38</v>
      </c>
    </row>
    <row r="177" spans="1:13" hidden="1" x14ac:dyDescent="0.3">
      <c r="A177" s="3" t="s">
        <v>374</v>
      </c>
      <c r="B177" s="3" t="s">
        <v>43</v>
      </c>
      <c r="C177" s="3" t="s">
        <v>375</v>
      </c>
      <c r="D177" s="3" t="s">
        <v>74</v>
      </c>
      <c r="E177" s="3" t="s">
        <v>75</v>
      </c>
      <c r="F177" s="3">
        <v>3798</v>
      </c>
      <c r="G177" s="3">
        <v>31</v>
      </c>
      <c r="H177" s="3">
        <v>279</v>
      </c>
      <c r="I177" s="3">
        <v>75960</v>
      </c>
      <c r="J177" s="3">
        <v>75813</v>
      </c>
      <c r="K177" s="3">
        <v>266</v>
      </c>
      <c r="L177" s="4" t="s">
        <v>30</v>
      </c>
      <c r="M177" s="5" t="s">
        <v>19</v>
      </c>
    </row>
    <row r="178" spans="1:13" hidden="1" x14ac:dyDescent="0.3">
      <c r="A178" s="3" t="s">
        <v>376</v>
      </c>
      <c r="B178" s="3" t="s">
        <v>33</v>
      </c>
      <c r="C178" s="3" t="s">
        <v>377</v>
      </c>
      <c r="D178" s="3" t="s">
        <v>45</v>
      </c>
      <c r="E178" s="3" t="s">
        <v>88</v>
      </c>
      <c r="F178" s="3">
        <v>3099</v>
      </c>
      <c r="G178" s="3">
        <v>694</v>
      </c>
      <c r="H178" s="3">
        <v>171</v>
      </c>
      <c r="I178" s="3">
        <v>43386</v>
      </c>
      <c r="J178" s="3">
        <v>42921</v>
      </c>
      <c r="K178" s="3">
        <v>52</v>
      </c>
      <c r="L178" s="4" t="s">
        <v>30</v>
      </c>
      <c r="M178" s="5" t="s">
        <v>31</v>
      </c>
    </row>
    <row r="179" spans="1:13" x14ac:dyDescent="0.3">
      <c r="A179" s="3" t="s">
        <v>378</v>
      </c>
      <c r="B179" s="3" t="s">
        <v>33</v>
      </c>
      <c r="C179" s="3" t="s">
        <v>205</v>
      </c>
      <c r="D179" s="3" t="s">
        <v>74</v>
      </c>
      <c r="E179" s="3" t="s">
        <v>85</v>
      </c>
      <c r="F179" s="3">
        <v>129</v>
      </c>
      <c r="G179" s="3">
        <v>643</v>
      </c>
      <c r="H179" s="3">
        <v>136</v>
      </c>
      <c r="I179" s="3">
        <v>1290</v>
      </c>
      <c r="J179" s="3">
        <v>839</v>
      </c>
      <c r="K179" s="3">
        <v>238</v>
      </c>
      <c r="L179" s="4" t="s">
        <v>30</v>
      </c>
      <c r="M179" s="5" t="s">
        <v>38</v>
      </c>
    </row>
    <row r="180" spans="1:13" hidden="1" x14ac:dyDescent="0.3">
      <c r="A180" s="3" t="s">
        <v>379</v>
      </c>
      <c r="B180" s="3" t="s">
        <v>43</v>
      </c>
      <c r="C180" s="3" t="s">
        <v>315</v>
      </c>
      <c r="D180" s="3" t="s">
        <v>45</v>
      </c>
      <c r="E180" s="3" t="s">
        <v>46</v>
      </c>
      <c r="F180" s="3">
        <v>3796</v>
      </c>
      <c r="G180" s="3">
        <v>667</v>
      </c>
      <c r="H180" s="3">
        <v>395</v>
      </c>
      <c r="I180" s="3">
        <v>64532</v>
      </c>
      <c r="J180" s="3">
        <v>63550</v>
      </c>
      <c r="K180" s="3">
        <v>292</v>
      </c>
      <c r="L180" s="4" t="s">
        <v>30</v>
      </c>
      <c r="M180" s="5"/>
    </row>
    <row r="181" spans="1:13" hidden="1" x14ac:dyDescent="0.3">
      <c r="A181" s="3" t="s">
        <v>380</v>
      </c>
      <c r="B181" s="3" t="s">
        <v>27</v>
      </c>
      <c r="C181" s="3" t="s">
        <v>362</v>
      </c>
      <c r="D181" s="3" t="s">
        <v>22</v>
      </c>
      <c r="E181" s="3" t="s">
        <v>104</v>
      </c>
      <c r="F181" s="3">
        <v>3711</v>
      </c>
      <c r="G181" s="3">
        <v>352</v>
      </c>
      <c r="H181" s="3">
        <v>290</v>
      </c>
      <c r="I181" s="3">
        <v>48243</v>
      </c>
      <c r="J181" s="3">
        <v>47579</v>
      </c>
      <c r="K181" s="3">
        <v>11</v>
      </c>
      <c r="L181" s="4" t="s">
        <v>30</v>
      </c>
      <c r="M181" s="5" t="s">
        <v>19</v>
      </c>
    </row>
    <row r="182" spans="1:13" hidden="1" x14ac:dyDescent="0.3">
      <c r="A182" s="3" t="s">
        <v>381</v>
      </c>
      <c r="B182" s="3" t="s">
        <v>27</v>
      </c>
      <c r="C182" s="3" t="s">
        <v>382</v>
      </c>
      <c r="D182" s="3" t="s">
        <v>52</v>
      </c>
      <c r="E182" s="3" t="s">
        <v>53</v>
      </c>
      <c r="F182" s="3">
        <v>606</v>
      </c>
      <c r="G182" s="3">
        <v>789</v>
      </c>
      <c r="H182" s="3">
        <v>470</v>
      </c>
      <c r="I182" s="3">
        <v>7878</v>
      </c>
      <c r="J182" s="3">
        <v>7389</v>
      </c>
      <c r="K182" s="3">
        <v>239</v>
      </c>
      <c r="L182" s="4" t="s">
        <v>37</v>
      </c>
      <c r="M182" s="5" t="s">
        <v>31</v>
      </c>
    </row>
    <row r="183" spans="1:13" x14ac:dyDescent="0.3">
      <c r="A183" s="3" t="s">
        <v>383</v>
      </c>
      <c r="B183" s="3" t="s">
        <v>43</v>
      </c>
      <c r="C183" s="3" t="s">
        <v>115</v>
      </c>
      <c r="D183" s="3" t="s">
        <v>52</v>
      </c>
      <c r="E183" s="3" t="s">
        <v>59</v>
      </c>
      <c r="F183" s="3">
        <v>4689</v>
      </c>
      <c r="G183" s="3">
        <v>134</v>
      </c>
      <c r="H183" s="3">
        <v>403</v>
      </c>
      <c r="I183" s="3">
        <v>51579</v>
      </c>
      <c r="J183" s="3">
        <v>50924</v>
      </c>
      <c r="K183" s="3">
        <v>173</v>
      </c>
      <c r="L183" s="4" t="s">
        <v>30</v>
      </c>
      <c r="M183" s="5" t="s">
        <v>38</v>
      </c>
    </row>
    <row r="184" spans="1:13" hidden="1" x14ac:dyDescent="0.3">
      <c r="A184" s="3" t="s">
        <v>384</v>
      </c>
      <c r="B184" s="3" t="s">
        <v>33</v>
      </c>
      <c r="C184" s="3" t="s">
        <v>385</v>
      </c>
      <c r="D184" s="3" t="s">
        <v>35</v>
      </c>
      <c r="E184" s="3" t="s">
        <v>36</v>
      </c>
      <c r="F184" s="3">
        <v>360</v>
      </c>
      <c r="G184" s="3">
        <v>590</v>
      </c>
      <c r="H184" s="3">
        <v>393</v>
      </c>
      <c r="I184" s="3">
        <v>4680</v>
      </c>
      <c r="J184" s="3">
        <v>4322</v>
      </c>
      <c r="K184" s="3">
        <v>208</v>
      </c>
      <c r="L184" s="4" t="s">
        <v>62</v>
      </c>
      <c r="M184" s="5" t="s">
        <v>25</v>
      </c>
    </row>
    <row r="185" spans="1:13" hidden="1" x14ac:dyDescent="0.3">
      <c r="A185" s="3" t="s">
        <v>386</v>
      </c>
      <c r="B185" s="3" t="s">
        <v>14</v>
      </c>
      <c r="C185" s="3" t="s">
        <v>387</v>
      </c>
      <c r="D185" s="3" t="s">
        <v>52</v>
      </c>
      <c r="E185" s="3" t="s">
        <v>132</v>
      </c>
      <c r="F185" s="3">
        <v>3215</v>
      </c>
      <c r="G185" s="3">
        <v>960</v>
      </c>
      <c r="H185" s="3">
        <v>202</v>
      </c>
      <c r="I185" s="3">
        <v>32150</v>
      </c>
      <c r="J185" s="3">
        <v>31404</v>
      </c>
      <c r="K185" s="3">
        <v>251</v>
      </c>
      <c r="L185" s="4" t="s">
        <v>37</v>
      </c>
      <c r="M185" s="5" t="s">
        <v>19</v>
      </c>
    </row>
    <row r="186" spans="1:13" hidden="1" x14ac:dyDescent="0.3">
      <c r="A186" s="3" t="s">
        <v>388</v>
      </c>
      <c r="B186" s="3" t="s">
        <v>33</v>
      </c>
      <c r="C186" s="3" t="s">
        <v>389</v>
      </c>
      <c r="D186" s="3" t="s">
        <v>45</v>
      </c>
      <c r="E186" s="3" t="s">
        <v>88</v>
      </c>
      <c r="F186" s="3">
        <v>4523</v>
      </c>
      <c r="G186" s="3">
        <v>61</v>
      </c>
      <c r="H186" s="3">
        <v>157</v>
      </c>
      <c r="I186" s="3">
        <v>49753</v>
      </c>
      <c r="J186" s="3">
        <v>49329</v>
      </c>
      <c r="K186" s="3">
        <v>71</v>
      </c>
      <c r="L186" s="4" t="s">
        <v>37</v>
      </c>
      <c r="M186" s="5"/>
    </row>
    <row r="187" spans="1:13" hidden="1" x14ac:dyDescent="0.3">
      <c r="A187" s="3" t="s">
        <v>390</v>
      </c>
      <c r="B187" s="3" t="s">
        <v>43</v>
      </c>
      <c r="C187" s="3" t="s">
        <v>348</v>
      </c>
      <c r="D187" s="3" t="s">
        <v>45</v>
      </c>
      <c r="E187" s="3" t="s">
        <v>46</v>
      </c>
      <c r="F187" s="3">
        <v>4292</v>
      </c>
      <c r="G187" s="3">
        <v>51</v>
      </c>
      <c r="H187" s="3">
        <v>392</v>
      </c>
      <c r="I187" s="3">
        <v>55796</v>
      </c>
      <c r="J187" s="3">
        <v>54826</v>
      </c>
      <c r="K187" s="3">
        <v>264</v>
      </c>
      <c r="L187" s="4" t="s">
        <v>37</v>
      </c>
      <c r="M187" s="5" t="s">
        <v>31</v>
      </c>
    </row>
    <row r="188" spans="1:13" hidden="1" x14ac:dyDescent="0.3">
      <c r="A188" s="3" t="s">
        <v>391</v>
      </c>
      <c r="B188" s="3" t="s">
        <v>14</v>
      </c>
      <c r="C188" s="3" t="s">
        <v>392</v>
      </c>
      <c r="D188" s="3" t="s">
        <v>16</v>
      </c>
      <c r="E188" s="3" t="s">
        <v>17</v>
      </c>
      <c r="F188" s="3">
        <v>1644</v>
      </c>
      <c r="G188" s="3">
        <v>546</v>
      </c>
      <c r="H188" s="3">
        <v>150</v>
      </c>
      <c r="I188" s="3">
        <v>27948</v>
      </c>
      <c r="J188" s="3">
        <v>27184</v>
      </c>
      <c r="K188" s="3">
        <v>300</v>
      </c>
      <c r="L188" s="4" t="s">
        <v>37</v>
      </c>
      <c r="M188" s="5" t="s">
        <v>31</v>
      </c>
    </row>
    <row r="189" spans="1:13" hidden="1" x14ac:dyDescent="0.3">
      <c r="A189" s="3" t="s">
        <v>393</v>
      </c>
      <c r="B189" s="3" t="s">
        <v>27</v>
      </c>
      <c r="C189" s="3" t="s">
        <v>226</v>
      </c>
      <c r="D189" s="3" t="s">
        <v>16</v>
      </c>
      <c r="E189" s="3" t="s">
        <v>29</v>
      </c>
      <c r="F189" s="3">
        <v>2728</v>
      </c>
      <c r="G189" s="3">
        <v>533</v>
      </c>
      <c r="H189" s="3">
        <v>215</v>
      </c>
      <c r="I189" s="3">
        <v>40920</v>
      </c>
      <c r="J189" s="3">
        <v>40816</v>
      </c>
      <c r="K189" s="3">
        <v>137</v>
      </c>
      <c r="L189" s="4" t="s">
        <v>62</v>
      </c>
      <c r="M189" s="5" t="s">
        <v>25</v>
      </c>
    </row>
    <row r="190" spans="1:13" hidden="1" x14ac:dyDescent="0.3">
      <c r="A190" s="3" t="s">
        <v>394</v>
      </c>
      <c r="B190" s="3" t="s">
        <v>43</v>
      </c>
      <c r="C190" s="3" t="s">
        <v>234</v>
      </c>
      <c r="D190" s="3" t="s">
        <v>16</v>
      </c>
      <c r="E190" s="3" t="s">
        <v>65</v>
      </c>
      <c r="F190" s="3">
        <v>3360</v>
      </c>
      <c r="G190" s="3">
        <v>525</v>
      </c>
      <c r="H190" s="3">
        <v>500</v>
      </c>
      <c r="I190" s="3">
        <v>60480</v>
      </c>
      <c r="J190" s="3">
        <v>59610</v>
      </c>
      <c r="K190" s="3">
        <v>192</v>
      </c>
      <c r="L190" s="4" t="s">
        <v>30</v>
      </c>
      <c r="M190" s="5" t="s">
        <v>19</v>
      </c>
    </row>
    <row r="191" spans="1:13" hidden="1" x14ac:dyDescent="0.3">
      <c r="A191" s="3" t="s">
        <v>395</v>
      </c>
      <c r="B191" s="3" t="s">
        <v>27</v>
      </c>
      <c r="C191" s="3" t="s">
        <v>396</v>
      </c>
      <c r="D191" s="3" t="s">
        <v>22</v>
      </c>
      <c r="E191" s="3" t="s">
        <v>104</v>
      </c>
      <c r="F191" s="3">
        <v>1963</v>
      </c>
      <c r="G191" s="3">
        <v>213</v>
      </c>
      <c r="H191" s="3">
        <v>19</v>
      </c>
      <c r="I191" s="3">
        <v>39260</v>
      </c>
      <c r="J191" s="3">
        <v>38771</v>
      </c>
      <c r="K191" s="3">
        <v>145</v>
      </c>
      <c r="L191" s="4" t="s">
        <v>62</v>
      </c>
      <c r="M191" s="5"/>
    </row>
    <row r="192" spans="1:13" hidden="1" x14ac:dyDescent="0.3">
      <c r="A192" s="3" t="s">
        <v>397</v>
      </c>
      <c r="B192" s="3" t="s">
        <v>27</v>
      </c>
      <c r="C192" s="3" t="s">
        <v>362</v>
      </c>
      <c r="D192" s="3" t="s">
        <v>35</v>
      </c>
      <c r="E192" s="3" t="s">
        <v>154</v>
      </c>
      <c r="F192" s="3">
        <v>4285</v>
      </c>
      <c r="G192" s="3">
        <v>886</v>
      </c>
      <c r="H192" s="3">
        <v>376</v>
      </c>
      <c r="I192" s="3">
        <v>55705</v>
      </c>
      <c r="J192" s="3">
        <v>55556</v>
      </c>
      <c r="K192" s="3">
        <v>51</v>
      </c>
      <c r="L192" s="4" t="s">
        <v>62</v>
      </c>
      <c r="M192" s="5" t="s">
        <v>31</v>
      </c>
    </row>
    <row r="193" spans="1:13" hidden="1" x14ac:dyDescent="0.3">
      <c r="A193" s="3" t="s">
        <v>398</v>
      </c>
      <c r="B193" s="3" t="s">
        <v>33</v>
      </c>
      <c r="C193" s="3" t="s">
        <v>399</v>
      </c>
      <c r="D193" s="3" t="s">
        <v>74</v>
      </c>
      <c r="E193" s="3" t="s">
        <v>85</v>
      </c>
      <c r="F193" s="3">
        <v>1176</v>
      </c>
      <c r="G193" s="3">
        <v>464</v>
      </c>
      <c r="H193" s="3">
        <v>394</v>
      </c>
      <c r="I193" s="3">
        <v>14112</v>
      </c>
      <c r="J193" s="3">
        <v>13588</v>
      </c>
      <c r="K193" s="3">
        <v>272</v>
      </c>
      <c r="L193" s="4" t="s">
        <v>37</v>
      </c>
      <c r="M193" s="5"/>
    </row>
    <row r="194" spans="1:13" hidden="1" x14ac:dyDescent="0.3">
      <c r="A194" s="3" t="s">
        <v>400</v>
      </c>
      <c r="B194" s="3" t="s">
        <v>14</v>
      </c>
      <c r="C194" s="3" t="s">
        <v>401</v>
      </c>
      <c r="D194" s="3" t="s">
        <v>52</v>
      </c>
      <c r="E194" s="3" t="s">
        <v>132</v>
      </c>
      <c r="F194" s="3">
        <v>4858</v>
      </c>
      <c r="G194" s="3">
        <v>317</v>
      </c>
      <c r="H194" s="3">
        <v>129</v>
      </c>
      <c r="I194" s="3">
        <v>53438</v>
      </c>
      <c r="J194" s="3">
        <v>52687</v>
      </c>
      <c r="K194" s="3">
        <v>223</v>
      </c>
      <c r="L194" s="4" t="s">
        <v>37</v>
      </c>
      <c r="M194" s="5" t="s">
        <v>31</v>
      </c>
    </row>
    <row r="195" spans="1:13" hidden="1" x14ac:dyDescent="0.3">
      <c r="A195" s="3" t="s">
        <v>402</v>
      </c>
      <c r="B195" s="3" t="s">
        <v>27</v>
      </c>
      <c r="C195" s="3" t="s">
        <v>274</v>
      </c>
      <c r="D195" s="3" t="s">
        <v>35</v>
      </c>
      <c r="E195" s="3" t="s">
        <v>154</v>
      </c>
      <c r="F195" s="3">
        <v>4350</v>
      </c>
      <c r="G195" s="3">
        <v>771</v>
      </c>
      <c r="H195" s="3">
        <v>7</v>
      </c>
      <c r="I195" s="3">
        <v>60900</v>
      </c>
      <c r="J195" s="3">
        <v>60592</v>
      </c>
      <c r="K195" s="3">
        <v>195</v>
      </c>
      <c r="L195" s="4" t="s">
        <v>37</v>
      </c>
      <c r="M195" s="5" t="s">
        <v>19</v>
      </c>
    </row>
    <row r="196" spans="1:13" x14ac:dyDescent="0.3">
      <c r="A196" s="3" t="s">
        <v>403</v>
      </c>
      <c r="B196" s="3" t="s">
        <v>33</v>
      </c>
      <c r="C196" s="3" t="s">
        <v>404</v>
      </c>
      <c r="D196" s="3" t="s">
        <v>45</v>
      </c>
      <c r="E196" s="3" t="s">
        <v>88</v>
      </c>
      <c r="F196" s="3">
        <v>914</v>
      </c>
      <c r="G196" s="3">
        <v>464</v>
      </c>
      <c r="H196" s="3">
        <v>246</v>
      </c>
      <c r="I196" s="3">
        <v>11882</v>
      </c>
      <c r="J196" s="3">
        <v>11500</v>
      </c>
      <c r="K196" s="3">
        <v>282</v>
      </c>
      <c r="L196" s="4" t="s">
        <v>216</v>
      </c>
      <c r="M196" s="5" t="s">
        <v>38</v>
      </c>
    </row>
    <row r="197" spans="1:13" hidden="1" x14ac:dyDescent="0.3">
      <c r="A197" s="3" t="s">
        <v>405</v>
      </c>
      <c r="B197" s="3" t="s">
        <v>33</v>
      </c>
      <c r="C197" s="3" t="s">
        <v>406</v>
      </c>
      <c r="D197" s="3" t="s">
        <v>22</v>
      </c>
      <c r="E197" s="3" t="s">
        <v>113</v>
      </c>
      <c r="F197" s="3">
        <v>1813</v>
      </c>
      <c r="G197" s="3">
        <v>623</v>
      </c>
      <c r="H197" s="3">
        <v>72</v>
      </c>
      <c r="I197" s="3">
        <v>19943</v>
      </c>
      <c r="J197" s="3">
        <v>18959</v>
      </c>
      <c r="K197" s="3">
        <v>85</v>
      </c>
      <c r="L197" s="4" t="s">
        <v>37</v>
      </c>
      <c r="M197" s="5" t="s">
        <v>31</v>
      </c>
    </row>
    <row r="198" spans="1:13" hidden="1" x14ac:dyDescent="0.3">
      <c r="A198" s="3" t="s">
        <v>407</v>
      </c>
      <c r="B198" s="3" t="s">
        <v>14</v>
      </c>
      <c r="C198" s="3" t="s">
        <v>341</v>
      </c>
      <c r="D198" s="3" t="s">
        <v>16</v>
      </c>
      <c r="E198" s="3" t="s">
        <v>17</v>
      </c>
      <c r="F198" s="3">
        <v>4782</v>
      </c>
      <c r="G198" s="3">
        <v>721</v>
      </c>
      <c r="H198" s="3">
        <v>82</v>
      </c>
      <c r="I198" s="3">
        <v>86076</v>
      </c>
      <c r="J198" s="3">
        <v>85339</v>
      </c>
      <c r="K198" s="3">
        <v>19</v>
      </c>
      <c r="L198" s="4" t="s">
        <v>37</v>
      </c>
      <c r="M198" s="5" t="s">
        <v>19</v>
      </c>
    </row>
    <row r="199" spans="1:13" hidden="1" x14ac:dyDescent="0.3">
      <c r="A199" s="3" t="s">
        <v>408</v>
      </c>
      <c r="B199" s="3" t="s">
        <v>14</v>
      </c>
      <c r="C199" s="3" t="s">
        <v>409</v>
      </c>
      <c r="D199" s="3" t="s">
        <v>52</v>
      </c>
      <c r="E199" s="3" t="s">
        <v>132</v>
      </c>
      <c r="F199" s="3">
        <v>1048</v>
      </c>
      <c r="G199" s="3">
        <v>374</v>
      </c>
      <c r="H199" s="3">
        <v>450</v>
      </c>
      <c r="I199" s="3">
        <v>9432</v>
      </c>
      <c r="J199" s="3">
        <v>8882</v>
      </c>
      <c r="K199" s="3">
        <v>158</v>
      </c>
      <c r="L199" s="4" t="s">
        <v>30</v>
      </c>
      <c r="M199" s="5" t="s">
        <v>31</v>
      </c>
    </row>
    <row r="200" spans="1:13" hidden="1" x14ac:dyDescent="0.3">
      <c r="A200" s="3" t="s">
        <v>410</v>
      </c>
      <c r="B200" s="3" t="s">
        <v>27</v>
      </c>
      <c r="C200" s="3" t="s">
        <v>121</v>
      </c>
      <c r="D200" s="3" t="s">
        <v>45</v>
      </c>
      <c r="E200" s="3" t="s">
        <v>68</v>
      </c>
      <c r="F200" s="3">
        <v>2509</v>
      </c>
      <c r="G200" s="3">
        <v>324</v>
      </c>
      <c r="H200" s="3">
        <v>171</v>
      </c>
      <c r="I200" s="3">
        <v>35126</v>
      </c>
      <c r="J200" s="3">
        <v>34685</v>
      </c>
      <c r="K200" s="3">
        <v>277</v>
      </c>
      <c r="L200" s="4" t="s">
        <v>30</v>
      </c>
      <c r="M200" s="5" t="s">
        <v>25</v>
      </c>
    </row>
    <row r="201" spans="1:13" hidden="1" x14ac:dyDescent="0.3">
      <c r="A201" s="3" t="s">
        <v>411</v>
      </c>
      <c r="B201" s="3" t="s">
        <v>43</v>
      </c>
      <c r="C201" s="3" t="s">
        <v>412</v>
      </c>
      <c r="D201" s="3" t="s">
        <v>16</v>
      </c>
      <c r="E201" s="3" t="s">
        <v>65</v>
      </c>
      <c r="F201" s="3">
        <v>3718</v>
      </c>
      <c r="G201" s="3">
        <v>385</v>
      </c>
      <c r="H201" s="3">
        <v>310</v>
      </c>
      <c r="I201" s="3">
        <v>70642</v>
      </c>
      <c r="J201" s="3">
        <v>69749</v>
      </c>
      <c r="K201" s="3">
        <v>233</v>
      </c>
      <c r="L201" s="4" t="s">
        <v>30</v>
      </c>
      <c r="M201" s="5" t="s">
        <v>25</v>
      </c>
    </row>
    <row r="202" spans="1:13" hidden="1" x14ac:dyDescent="0.3">
      <c r="A202" s="3" t="s">
        <v>413</v>
      </c>
      <c r="B202" s="3" t="s">
        <v>14</v>
      </c>
      <c r="C202" s="3" t="s">
        <v>414</v>
      </c>
      <c r="D202" s="3" t="s">
        <v>16</v>
      </c>
      <c r="E202" s="3" t="s">
        <v>17</v>
      </c>
      <c r="F202" s="3">
        <v>802</v>
      </c>
      <c r="G202" s="3">
        <v>262</v>
      </c>
      <c r="H202" s="3">
        <v>244</v>
      </c>
      <c r="I202" s="3">
        <v>14436</v>
      </c>
      <c r="J202" s="3">
        <v>14280</v>
      </c>
      <c r="K202" s="3">
        <v>49</v>
      </c>
      <c r="L202" s="4" t="s">
        <v>37</v>
      </c>
      <c r="M202" s="5" t="s">
        <v>19</v>
      </c>
    </row>
    <row r="203" spans="1:13" hidden="1" x14ac:dyDescent="0.3">
      <c r="A203" s="3" t="s">
        <v>415</v>
      </c>
      <c r="B203" s="3" t="s">
        <v>43</v>
      </c>
      <c r="C203" s="3" t="s">
        <v>416</v>
      </c>
      <c r="D203" s="3" t="s">
        <v>52</v>
      </c>
      <c r="E203" s="3" t="s">
        <v>59</v>
      </c>
      <c r="F203" s="3">
        <v>1871</v>
      </c>
      <c r="G203" s="3">
        <v>252</v>
      </c>
      <c r="H203" s="3">
        <v>335</v>
      </c>
      <c r="I203" s="3">
        <v>29936</v>
      </c>
      <c r="J203" s="3">
        <v>29576</v>
      </c>
      <c r="K203" s="3">
        <v>288</v>
      </c>
      <c r="L203" s="4" t="s">
        <v>37</v>
      </c>
      <c r="M203" s="5" t="s">
        <v>31</v>
      </c>
    </row>
    <row r="204" spans="1:13" hidden="1" x14ac:dyDescent="0.3">
      <c r="A204" s="3" t="s">
        <v>417</v>
      </c>
      <c r="B204" s="3" t="s">
        <v>33</v>
      </c>
      <c r="C204" s="3" t="s">
        <v>418</v>
      </c>
      <c r="D204" s="3" t="s">
        <v>45</v>
      </c>
      <c r="E204" s="3" t="s">
        <v>88</v>
      </c>
      <c r="F204" s="3">
        <v>3773</v>
      </c>
      <c r="G204" s="3">
        <v>299</v>
      </c>
      <c r="H204" s="3">
        <v>38</v>
      </c>
      <c r="I204" s="3">
        <v>71687</v>
      </c>
      <c r="J204" s="3">
        <v>71447</v>
      </c>
      <c r="K204" s="3">
        <v>286</v>
      </c>
      <c r="L204" s="4" t="s">
        <v>62</v>
      </c>
      <c r="M204" s="5" t="s">
        <v>19</v>
      </c>
    </row>
    <row r="205" spans="1:13" hidden="1" x14ac:dyDescent="0.3">
      <c r="A205" s="3" t="s">
        <v>419</v>
      </c>
      <c r="B205" s="3" t="s">
        <v>33</v>
      </c>
      <c r="C205" s="3" t="s">
        <v>336</v>
      </c>
      <c r="D205" s="3" t="s">
        <v>45</v>
      </c>
      <c r="E205" s="3" t="s">
        <v>88</v>
      </c>
      <c r="F205" s="3">
        <v>2234</v>
      </c>
      <c r="G205" s="3">
        <v>653</v>
      </c>
      <c r="H205" s="3">
        <v>432</v>
      </c>
      <c r="I205" s="3">
        <v>11170</v>
      </c>
      <c r="J205" s="3">
        <v>10569</v>
      </c>
      <c r="K205" s="3">
        <v>198</v>
      </c>
      <c r="L205" s="4" t="s">
        <v>62</v>
      </c>
      <c r="M205" s="5" t="s">
        <v>31</v>
      </c>
    </row>
    <row r="206" spans="1:13" x14ac:dyDescent="0.3">
      <c r="A206" s="3" t="s">
        <v>420</v>
      </c>
      <c r="B206" s="3" t="s">
        <v>14</v>
      </c>
      <c r="C206" s="3" t="s">
        <v>305</v>
      </c>
      <c r="D206" s="3" t="s">
        <v>74</v>
      </c>
      <c r="E206" s="3" t="s">
        <v>145</v>
      </c>
      <c r="F206" s="3">
        <v>3820</v>
      </c>
      <c r="G206" s="3">
        <v>697</v>
      </c>
      <c r="H206" s="3">
        <v>268</v>
      </c>
      <c r="I206" s="3">
        <v>45840</v>
      </c>
      <c r="J206" s="3">
        <v>45631</v>
      </c>
      <c r="K206" s="3">
        <v>171</v>
      </c>
      <c r="L206" s="4" t="s">
        <v>421</v>
      </c>
      <c r="M206" s="5" t="s">
        <v>38</v>
      </c>
    </row>
    <row r="207" spans="1:13" hidden="1" x14ac:dyDescent="0.3">
      <c r="A207" s="3" t="s">
        <v>422</v>
      </c>
      <c r="B207" s="3" t="s">
        <v>14</v>
      </c>
      <c r="C207" s="3" t="s">
        <v>48</v>
      </c>
      <c r="D207" s="3" t="s">
        <v>22</v>
      </c>
      <c r="E207" s="3" t="s">
        <v>23</v>
      </c>
      <c r="F207" s="3">
        <v>941</v>
      </c>
      <c r="G207" s="3">
        <v>121</v>
      </c>
      <c r="H207" s="3">
        <v>458</v>
      </c>
      <c r="I207" s="3">
        <v>14115</v>
      </c>
      <c r="J207" s="3">
        <v>13838</v>
      </c>
      <c r="K207" s="3">
        <v>87</v>
      </c>
      <c r="L207" s="4" t="s">
        <v>37</v>
      </c>
      <c r="M207" s="5" t="s">
        <v>19</v>
      </c>
    </row>
    <row r="208" spans="1:13" hidden="1" x14ac:dyDescent="0.3">
      <c r="A208" s="3" t="s">
        <v>423</v>
      </c>
      <c r="B208" s="3" t="s">
        <v>14</v>
      </c>
      <c r="C208" s="3" t="s">
        <v>424</v>
      </c>
      <c r="D208" s="3" t="s">
        <v>45</v>
      </c>
      <c r="E208" s="3" t="s">
        <v>49</v>
      </c>
      <c r="F208" s="3">
        <v>4274</v>
      </c>
      <c r="G208" s="3">
        <v>340</v>
      </c>
      <c r="H208" s="3">
        <v>281</v>
      </c>
      <c r="I208" s="3">
        <v>34192</v>
      </c>
      <c r="J208" s="3">
        <v>33446</v>
      </c>
      <c r="K208" s="3">
        <v>129</v>
      </c>
      <c r="L208" s="4" t="s">
        <v>421</v>
      </c>
      <c r="M208" s="5" t="s">
        <v>31</v>
      </c>
    </row>
    <row r="209" spans="1:13" hidden="1" x14ac:dyDescent="0.3">
      <c r="A209" s="3" t="s">
        <v>425</v>
      </c>
      <c r="B209" s="3" t="s">
        <v>27</v>
      </c>
      <c r="C209" s="3" t="s">
        <v>48</v>
      </c>
      <c r="D209" s="3" t="s">
        <v>74</v>
      </c>
      <c r="E209" s="3" t="s">
        <v>219</v>
      </c>
      <c r="F209" s="3">
        <v>2949</v>
      </c>
      <c r="G209" s="3">
        <v>476</v>
      </c>
      <c r="H209" s="3">
        <v>403</v>
      </c>
      <c r="I209" s="3">
        <v>44235</v>
      </c>
      <c r="J209" s="3">
        <v>43705</v>
      </c>
      <c r="K209" s="3">
        <v>135</v>
      </c>
      <c r="L209" s="4" t="s">
        <v>30</v>
      </c>
      <c r="M209" s="5" t="s">
        <v>25</v>
      </c>
    </row>
    <row r="210" spans="1:13" x14ac:dyDescent="0.3">
      <c r="A210" s="3" t="s">
        <v>426</v>
      </c>
      <c r="B210" s="3" t="s">
        <v>14</v>
      </c>
      <c r="C210" s="3" t="s">
        <v>427</v>
      </c>
      <c r="D210" s="3" t="s">
        <v>74</v>
      </c>
      <c r="E210" s="3" t="s">
        <v>145</v>
      </c>
      <c r="F210" s="3">
        <v>3160</v>
      </c>
      <c r="G210" s="3">
        <v>204</v>
      </c>
      <c r="H210" s="3">
        <v>297</v>
      </c>
      <c r="I210" s="3">
        <v>44240</v>
      </c>
      <c r="J210" s="3">
        <v>43666</v>
      </c>
      <c r="K210" s="3">
        <v>49</v>
      </c>
      <c r="L210" s="4" t="s">
        <v>18</v>
      </c>
      <c r="M210" s="5" t="s">
        <v>38</v>
      </c>
    </row>
    <row r="211" spans="1:13" hidden="1" x14ac:dyDescent="0.3">
      <c r="A211" s="3" t="s">
        <v>428</v>
      </c>
      <c r="B211" s="3" t="s">
        <v>27</v>
      </c>
      <c r="C211" s="3" t="s">
        <v>350</v>
      </c>
      <c r="D211" s="3" t="s">
        <v>52</v>
      </c>
      <c r="E211" s="3" t="s">
        <v>53</v>
      </c>
      <c r="F211" s="3">
        <v>257</v>
      </c>
      <c r="G211" s="3">
        <v>966</v>
      </c>
      <c r="H211" s="3">
        <v>398</v>
      </c>
      <c r="I211" s="3">
        <v>3341</v>
      </c>
      <c r="J211" s="3">
        <v>2753</v>
      </c>
      <c r="K211" s="3">
        <v>287</v>
      </c>
      <c r="L211" s="4" t="s">
        <v>62</v>
      </c>
      <c r="M211" s="5" t="s">
        <v>19</v>
      </c>
    </row>
    <row r="212" spans="1:13" x14ac:dyDescent="0.3">
      <c r="A212" s="3" t="s">
        <v>429</v>
      </c>
      <c r="B212" s="3" t="s">
        <v>14</v>
      </c>
      <c r="C212" s="3" t="s">
        <v>430</v>
      </c>
      <c r="D212" s="3" t="s">
        <v>45</v>
      </c>
      <c r="E212" s="3" t="s">
        <v>49</v>
      </c>
      <c r="F212" s="3">
        <v>2120</v>
      </c>
      <c r="G212" s="3">
        <v>38</v>
      </c>
      <c r="H212" s="3">
        <v>212</v>
      </c>
      <c r="I212" s="3">
        <v>12720</v>
      </c>
      <c r="J212" s="3">
        <v>12564</v>
      </c>
      <c r="K212" s="3">
        <v>21</v>
      </c>
      <c r="L212" s="4" t="s">
        <v>62</v>
      </c>
      <c r="M212" s="5" t="s">
        <v>38</v>
      </c>
    </row>
    <row r="213" spans="1:13" hidden="1" x14ac:dyDescent="0.3">
      <c r="A213" s="3" t="s">
        <v>431</v>
      </c>
      <c r="B213" s="3" t="s">
        <v>27</v>
      </c>
      <c r="C213" s="3" t="s">
        <v>197</v>
      </c>
      <c r="D213" s="3" t="s">
        <v>74</v>
      </c>
      <c r="E213" s="3" t="s">
        <v>219</v>
      </c>
      <c r="F213" s="3">
        <v>3874</v>
      </c>
      <c r="G213" s="3">
        <v>884</v>
      </c>
      <c r="H213" s="3">
        <v>19</v>
      </c>
      <c r="I213" s="3">
        <v>38740</v>
      </c>
      <c r="J213" s="3">
        <v>38552</v>
      </c>
      <c r="K213" s="3">
        <v>219</v>
      </c>
      <c r="L213" s="4" t="s">
        <v>30</v>
      </c>
      <c r="M213" s="5" t="s">
        <v>25</v>
      </c>
    </row>
    <row r="214" spans="1:13" x14ac:dyDescent="0.3">
      <c r="A214" s="3" t="s">
        <v>432</v>
      </c>
      <c r="B214" s="3" t="s">
        <v>43</v>
      </c>
      <c r="C214" s="3" t="s">
        <v>433</v>
      </c>
      <c r="D214" s="3" t="s">
        <v>45</v>
      </c>
      <c r="E214" s="3" t="s">
        <v>46</v>
      </c>
      <c r="F214" s="3">
        <v>2696</v>
      </c>
      <c r="G214" s="3">
        <v>628</v>
      </c>
      <c r="H214" s="3">
        <v>443</v>
      </c>
      <c r="I214" s="3">
        <v>45832</v>
      </c>
      <c r="J214" s="3">
        <v>45632</v>
      </c>
      <c r="K214" s="3">
        <v>248</v>
      </c>
      <c r="L214" s="4" t="s">
        <v>37</v>
      </c>
      <c r="M214" s="5" t="s">
        <v>38</v>
      </c>
    </row>
    <row r="215" spans="1:13" hidden="1" x14ac:dyDescent="0.3">
      <c r="A215" s="3" t="s">
        <v>434</v>
      </c>
      <c r="B215" s="3" t="s">
        <v>33</v>
      </c>
      <c r="C215" s="3" t="s">
        <v>15</v>
      </c>
      <c r="D215" s="3" t="s">
        <v>52</v>
      </c>
      <c r="E215" s="3" t="s">
        <v>215</v>
      </c>
      <c r="F215" s="3">
        <v>521</v>
      </c>
      <c r="G215" s="3">
        <v>746</v>
      </c>
      <c r="H215" s="3">
        <v>315</v>
      </c>
      <c r="I215" s="3">
        <v>4168</v>
      </c>
      <c r="J215" s="3">
        <v>3399</v>
      </c>
      <c r="K215" s="3">
        <v>282</v>
      </c>
      <c r="L215" s="4" t="s">
        <v>62</v>
      </c>
      <c r="M215" s="5" t="s">
        <v>25</v>
      </c>
    </row>
    <row r="216" spans="1:13" hidden="1" x14ac:dyDescent="0.3">
      <c r="A216" s="3" t="s">
        <v>435</v>
      </c>
      <c r="B216" s="3" t="s">
        <v>43</v>
      </c>
      <c r="C216" s="3" t="s">
        <v>436</v>
      </c>
      <c r="D216" s="3" t="s">
        <v>52</v>
      </c>
      <c r="E216" s="3" t="s">
        <v>59</v>
      </c>
      <c r="F216" s="3">
        <v>4872</v>
      </c>
      <c r="G216" s="3">
        <v>925</v>
      </c>
      <c r="H216" s="3">
        <v>176</v>
      </c>
      <c r="I216" s="3">
        <v>82824</v>
      </c>
      <c r="J216" s="3">
        <v>82543</v>
      </c>
      <c r="K216" s="3">
        <v>89</v>
      </c>
      <c r="L216" s="4" t="s">
        <v>37</v>
      </c>
      <c r="M216" s="5" t="s">
        <v>25</v>
      </c>
    </row>
    <row r="217" spans="1:13" hidden="1" x14ac:dyDescent="0.3">
      <c r="A217" s="3" t="s">
        <v>437</v>
      </c>
      <c r="B217" s="3" t="s">
        <v>27</v>
      </c>
      <c r="C217" s="3" t="s">
        <v>268</v>
      </c>
      <c r="D217" s="3" t="s">
        <v>35</v>
      </c>
      <c r="E217" s="3" t="s">
        <v>154</v>
      </c>
      <c r="F217" s="3">
        <v>1509</v>
      </c>
      <c r="G217" s="3">
        <v>88</v>
      </c>
      <c r="H217" s="3">
        <v>163</v>
      </c>
      <c r="I217" s="3">
        <v>30180</v>
      </c>
      <c r="J217" s="3">
        <v>29689</v>
      </c>
      <c r="K217" s="3">
        <v>119</v>
      </c>
      <c r="L217" s="4" t="s">
        <v>37</v>
      </c>
      <c r="M217" s="5" t="s">
        <v>25</v>
      </c>
    </row>
    <row r="218" spans="1:13" hidden="1" x14ac:dyDescent="0.3">
      <c r="A218" s="3" t="s">
        <v>438</v>
      </c>
      <c r="B218" s="3" t="s">
        <v>43</v>
      </c>
      <c r="C218" s="3" t="s">
        <v>362</v>
      </c>
      <c r="D218" s="3" t="s">
        <v>52</v>
      </c>
      <c r="E218" s="3" t="s">
        <v>59</v>
      </c>
      <c r="F218" s="3">
        <v>4606</v>
      </c>
      <c r="G218" s="3">
        <v>931</v>
      </c>
      <c r="H218" s="3">
        <v>230</v>
      </c>
      <c r="I218" s="3">
        <v>92120</v>
      </c>
      <c r="J218" s="3">
        <v>91440</v>
      </c>
      <c r="K218" s="3">
        <v>56</v>
      </c>
      <c r="L218" s="4" t="s">
        <v>30</v>
      </c>
      <c r="M218" s="5"/>
    </row>
    <row r="219" spans="1:13" x14ac:dyDescent="0.3">
      <c r="A219" s="3" t="s">
        <v>439</v>
      </c>
      <c r="B219" s="3" t="s">
        <v>43</v>
      </c>
      <c r="C219" s="3" t="s">
        <v>254</v>
      </c>
      <c r="D219" s="3" t="s">
        <v>45</v>
      </c>
      <c r="E219" s="3" t="s">
        <v>46</v>
      </c>
      <c r="F219" s="3">
        <v>1869</v>
      </c>
      <c r="G219" s="3">
        <v>453</v>
      </c>
      <c r="H219" s="3">
        <v>490</v>
      </c>
      <c r="I219" s="3">
        <v>14952</v>
      </c>
      <c r="J219" s="3">
        <v>14309</v>
      </c>
      <c r="K219" s="3">
        <v>275</v>
      </c>
      <c r="L219" s="4" t="s">
        <v>30</v>
      </c>
      <c r="M219" s="5" t="s">
        <v>38</v>
      </c>
    </row>
    <row r="220" spans="1:13" x14ac:dyDescent="0.3">
      <c r="A220" s="3" t="s">
        <v>440</v>
      </c>
      <c r="B220" s="3" t="s">
        <v>14</v>
      </c>
      <c r="C220" s="3" t="s">
        <v>174</v>
      </c>
      <c r="D220" s="3" t="s">
        <v>16</v>
      </c>
      <c r="E220" s="3" t="s">
        <v>17</v>
      </c>
      <c r="F220" s="3">
        <v>1188</v>
      </c>
      <c r="G220" s="3">
        <v>470</v>
      </c>
      <c r="H220" s="3">
        <v>174</v>
      </c>
      <c r="I220" s="3">
        <v>7128</v>
      </c>
      <c r="J220" s="3">
        <v>6145</v>
      </c>
      <c r="K220" s="3">
        <v>270</v>
      </c>
      <c r="L220" s="4" t="s">
        <v>30</v>
      </c>
      <c r="M220" s="5" t="s">
        <v>38</v>
      </c>
    </row>
    <row r="221" spans="1:13" hidden="1" x14ac:dyDescent="0.3">
      <c r="A221" s="3" t="s">
        <v>441</v>
      </c>
      <c r="B221" s="3" t="s">
        <v>33</v>
      </c>
      <c r="C221" s="3" t="s">
        <v>416</v>
      </c>
      <c r="D221" s="3" t="s">
        <v>35</v>
      </c>
      <c r="E221" s="3" t="s">
        <v>36</v>
      </c>
      <c r="F221" s="3">
        <v>84</v>
      </c>
      <c r="G221" s="3">
        <v>897</v>
      </c>
      <c r="H221" s="3">
        <v>85</v>
      </c>
      <c r="I221" s="3">
        <v>588</v>
      </c>
      <c r="J221" s="3">
        <v>8</v>
      </c>
      <c r="K221" s="3">
        <v>12</v>
      </c>
      <c r="L221" s="4" t="s">
        <v>37</v>
      </c>
      <c r="M221" s="5"/>
    </row>
    <row r="222" spans="1:13" hidden="1" x14ac:dyDescent="0.3">
      <c r="A222" s="3" t="s">
        <v>442</v>
      </c>
      <c r="B222" s="3" t="s">
        <v>43</v>
      </c>
      <c r="C222" s="3" t="s">
        <v>256</v>
      </c>
      <c r="D222" s="3" t="s">
        <v>74</v>
      </c>
      <c r="E222" s="3" t="s">
        <v>75</v>
      </c>
      <c r="F222" s="3">
        <v>4453</v>
      </c>
      <c r="G222" s="3">
        <v>111</v>
      </c>
      <c r="H222" s="3">
        <v>420</v>
      </c>
      <c r="I222" s="3">
        <v>31171</v>
      </c>
      <c r="J222" s="3">
        <v>30565</v>
      </c>
      <c r="K222" s="3">
        <v>23</v>
      </c>
      <c r="L222" s="4" t="s">
        <v>30</v>
      </c>
      <c r="M222" s="5"/>
    </row>
    <row r="223" spans="1:13" hidden="1" x14ac:dyDescent="0.3">
      <c r="A223" s="3" t="s">
        <v>443</v>
      </c>
      <c r="B223" s="3" t="s">
        <v>43</v>
      </c>
      <c r="C223" s="3" t="s">
        <v>444</v>
      </c>
      <c r="D223" s="3" t="s">
        <v>16</v>
      </c>
      <c r="E223" s="3" t="s">
        <v>65</v>
      </c>
      <c r="F223" s="3">
        <v>1814</v>
      </c>
      <c r="G223" s="3">
        <v>653</v>
      </c>
      <c r="H223" s="3">
        <v>363</v>
      </c>
      <c r="I223" s="3">
        <v>25396</v>
      </c>
      <c r="J223" s="3">
        <v>25286</v>
      </c>
      <c r="K223" s="3">
        <v>39</v>
      </c>
      <c r="L223" s="4" t="s">
        <v>445</v>
      </c>
      <c r="M223" s="5" t="s">
        <v>19</v>
      </c>
    </row>
    <row r="224" spans="1:13" hidden="1" x14ac:dyDescent="0.3">
      <c r="A224" s="3" t="s">
        <v>446</v>
      </c>
      <c r="B224" s="3" t="s">
        <v>14</v>
      </c>
      <c r="C224" s="3" t="s">
        <v>360</v>
      </c>
      <c r="D224" s="3" t="s">
        <v>52</v>
      </c>
      <c r="E224" s="3" t="s">
        <v>132</v>
      </c>
      <c r="F224" s="3">
        <v>3338</v>
      </c>
      <c r="G224" s="3">
        <v>277</v>
      </c>
      <c r="H224" s="3">
        <v>118</v>
      </c>
      <c r="I224" s="3">
        <v>60084</v>
      </c>
      <c r="J224" s="3">
        <v>59842</v>
      </c>
      <c r="K224" s="3">
        <v>252</v>
      </c>
      <c r="L224" s="4" t="s">
        <v>30</v>
      </c>
      <c r="M224" s="5"/>
    </row>
    <row r="225" spans="1:13" hidden="1" x14ac:dyDescent="0.3">
      <c r="A225" s="3" t="s">
        <v>447</v>
      </c>
      <c r="B225" s="3" t="s">
        <v>43</v>
      </c>
      <c r="C225" s="3" t="s">
        <v>448</v>
      </c>
      <c r="D225" s="3" t="s">
        <v>52</v>
      </c>
      <c r="E225" s="3" t="s">
        <v>59</v>
      </c>
      <c r="F225" s="3">
        <v>602</v>
      </c>
      <c r="G225" s="3">
        <v>594</v>
      </c>
      <c r="H225" s="3">
        <v>156</v>
      </c>
      <c r="I225" s="3">
        <v>4214</v>
      </c>
      <c r="J225" s="3">
        <v>3363</v>
      </c>
      <c r="K225" s="3">
        <v>164</v>
      </c>
      <c r="L225" s="4" t="s">
        <v>30</v>
      </c>
      <c r="M225" s="5" t="s">
        <v>31</v>
      </c>
    </row>
    <row r="226" spans="1:13" hidden="1" x14ac:dyDescent="0.3">
      <c r="A226" s="3" t="s">
        <v>449</v>
      </c>
      <c r="B226" s="3" t="s">
        <v>14</v>
      </c>
      <c r="C226" s="3" t="s">
        <v>375</v>
      </c>
      <c r="D226" s="3" t="s">
        <v>45</v>
      </c>
      <c r="E226" s="3" t="s">
        <v>49</v>
      </c>
      <c r="F226" s="3">
        <v>4672</v>
      </c>
      <c r="G226" s="3">
        <v>325</v>
      </c>
      <c r="H226" s="3">
        <v>32</v>
      </c>
      <c r="I226" s="3">
        <v>88768</v>
      </c>
      <c r="J226" s="3">
        <v>87833</v>
      </c>
      <c r="K226" s="3">
        <v>118</v>
      </c>
      <c r="L226" s="4" t="s">
        <v>37</v>
      </c>
      <c r="M226" s="5"/>
    </row>
    <row r="227" spans="1:13" hidden="1" x14ac:dyDescent="0.3">
      <c r="A227" s="3" t="s">
        <v>450</v>
      </c>
      <c r="B227" s="3" t="s">
        <v>33</v>
      </c>
      <c r="C227" s="3" t="s">
        <v>451</v>
      </c>
      <c r="D227" s="3" t="s">
        <v>45</v>
      </c>
      <c r="E227" s="3" t="s">
        <v>88</v>
      </c>
      <c r="F227" s="3">
        <v>1741</v>
      </c>
      <c r="G227" s="3">
        <v>164</v>
      </c>
      <c r="H227" s="3">
        <v>318</v>
      </c>
      <c r="I227" s="3">
        <v>8705</v>
      </c>
      <c r="J227" s="3">
        <v>8272</v>
      </c>
      <c r="K227" s="3">
        <v>121</v>
      </c>
      <c r="L227" s="4" t="s">
        <v>30</v>
      </c>
      <c r="M227" s="5"/>
    </row>
    <row r="228" spans="1:13" hidden="1" x14ac:dyDescent="0.3">
      <c r="A228" s="3" t="s">
        <v>452</v>
      </c>
      <c r="B228" s="3" t="s">
        <v>33</v>
      </c>
      <c r="C228" s="3" t="s">
        <v>453</v>
      </c>
      <c r="D228" s="3" t="s">
        <v>22</v>
      </c>
      <c r="E228" s="3" t="s">
        <v>113</v>
      </c>
      <c r="F228" s="3">
        <v>246</v>
      </c>
      <c r="G228" s="3">
        <v>149</v>
      </c>
      <c r="H228" s="3">
        <v>130</v>
      </c>
      <c r="I228" s="3">
        <v>4674</v>
      </c>
      <c r="J228" s="3">
        <v>4390</v>
      </c>
      <c r="K228" s="3">
        <v>217</v>
      </c>
      <c r="L228" s="4" t="s">
        <v>62</v>
      </c>
      <c r="M228" s="5" t="s">
        <v>31</v>
      </c>
    </row>
    <row r="229" spans="1:13" hidden="1" x14ac:dyDescent="0.3">
      <c r="A229" s="3" t="s">
        <v>454</v>
      </c>
      <c r="B229" s="3" t="s">
        <v>33</v>
      </c>
      <c r="C229" s="3" t="s">
        <v>455</v>
      </c>
      <c r="D229" s="3" t="s">
        <v>35</v>
      </c>
      <c r="E229" s="3" t="s">
        <v>36</v>
      </c>
      <c r="F229" s="3">
        <v>4808</v>
      </c>
      <c r="G229" s="3">
        <v>772</v>
      </c>
      <c r="H229" s="3">
        <v>320</v>
      </c>
      <c r="I229" s="3">
        <v>72120</v>
      </c>
      <c r="J229" s="3">
        <v>71696</v>
      </c>
      <c r="K229" s="3">
        <v>195</v>
      </c>
      <c r="L229" s="4" t="s">
        <v>37</v>
      </c>
      <c r="M229" s="5" t="s">
        <v>19</v>
      </c>
    </row>
    <row r="230" spans="1:13" hidden="1" x14ac:dyDescent="0.3">
      <c r="A230" s="3" t="s">
        <v>456</v>
      </c>
      <c r="B230" s="3" t="s">
        <v>33</v>
      </c>
      <c r="C230" s="3" t="s">
        <v>153</v>
      </c>
      <c r="D230" s="3" t="s">
        <v>45</v>
      </c>
      <c r="E230" s="3" t="s">
        <v>88</v>
      </c>
      <c r="F230" s="3">
        <v>4799</v>
      </c>
      <c r="G230" s="3">
        <v>694</v>
      </c>
      <c r="H230" s="3">
        <v>289</v>
      </c>
      <c r="I230" s="3">
        <v>43191</v>
      </c>
      <c r="J230" s="3">
        <v>42228</v>
      </c>
      <c r="K230" s="3">
        <v>118</v>
      </c>
      <c r="L230" s="4" t="s">
        <v>30</v>
      </c>
      <c r="M230" s="5"/>
    </row>
    <row r="231" spans="1:13" hidden="1" x14ac:dyDescent="0.3">
      <c r="A231" s="3" t="s">
        <v>457</v>
      </c>
      <c r="B231" s="3" t="s">
        <v>43</v>
      </c>
      <c r="C231" s="3" t="s">
        <v>315</v>
      </c>
      <c r="D231" s="3" t="s">
        <v>16</v>
      </c>
      <c r="E231" s="3" t="s">
        <v>65</v>
      </c>
      <c r="F231" s="3">
        <v>3663</v>
      </c>
      <c r="G231" s="3">
        <v>17</v>
      </c>
      <c r="H231" s="3">
        <v>295</v>
      </c>
      <c r="I231" s="3">
        <v>51282</v>
      </c>
      <c r="J231" s="3">
        <v>50567</v>
      </c>
      <c r="K231" s="3">
        <v>84</v>
      </c>
      <c r="L231" s="4" t="s">
        <v>37</v>
      </c>
      <c r="M231" s="5" t="s">
        <v>31</v>
      </c>
    </row>
    <row r="232" spans="1:13" hidden="1" x14ac:dyDescent="0.3">
      <c r="A232" s="3" t="s">
        <v>458</v>
      </c>
      <c r="B232" s="3" t="s">
        <v>33</v>
      </c>
      <c r="C232" s="3" t="s">
        <v>433</v>
      </c>
      <c r="D232" s="3" t="s">
        <v>22</v>
      </c>
      <c r="E232" s="3" t="s">
        <v>113</v>
      </c>
      <c r="F232" s="3">
        <v>1430</v>
      </c>
      <c r="G232" s="3">
        <v>376</v>
      </c>
      <c r="H232" s="3">
        <v>33</v>
      </c>
      <c r="I232" s="3">
        <v>21450</v>
      </c>
      <c r="J232" s="3">
        <v>20509</v>
      </c>
      <c r="K232" s="3">
        <v>251</v>
      </c>
      <c r="L232" s="4" t="s">
        <v>62</v>
      </c>
      <c r="M232" s="5" t="s">
        <v>19</v>
      </c>
    </row>
    <row r="233" spans="1:13" x14ac:dyDescent="0.3">
      <c r="A233" s="3" t="s">
        <v>459</v>
      </c>
      <c r="B233" s="3" t="s">
        <v>14</v>
      </c>
      <c r="C233" s="3" t="s">
        <v>460</v>
      </c>
      <c r="D233" s="3" t="s">
        <v>35</v>
      </c>
      <c r="E233" s="3" t="s">
        <v>149</v>
      </c>
      <c r="F233" s="3">
        <v>249</v>
      </c>
      <c r="G233" s="3">
        <v>592</v>
      </c>
      <c r="H233" s="3">
        <v>230</v>
      </c>
      <c r="I233" s="3">
        <v>1494</v>
      </c>
      <c r="J233" s="3">
        <v>1044</v>
      </c>
      <c r="K233" s="3">
        <v>201</v>
      </c>
      <c r="L233" s="4" t="s">
        <v>37</v>
      </c>
      <c r="M233" s="5" t="s">
        <v>38</v>
      </c>
    </row>
    <row r="234" spans="1:13" x14ac:dyDescent="0.3">
      <c r="A234" s="3" t="s">
        <v>461</v>
      </c>
      <c r="B234" s="3" t="s">
        <v>43</v>
      </c>
      <c r="C234" s="3" t="s">
        <v>134</v>
      </c>
      <c r="D234" s="3" t="s">
        <v>52</v>
      </c>
      <c r="E234" s="3" t="s">
        <v>59</v>
      </c>
      <c r="F234" s="3">
        <v>2382</v>
      </c>
      <c r="G234" s="3">
        <v>265</v>
      </c>
      <c r="H234" s="3">
        <v>134</v>
      </c>
      <c r="I234" s="3">
        <v>38112</v>
      </c>
      <c r="J234" s="3">
        <v>37437</v>
      </c>
      <c r="K234" s="3">
        <v>249</v>
      </c>
      <c r="L234" s="4" t="s">
        <v>62</v>
      </c>
      <c r="M234" s="5" t="s">
        <v>38</v>
      </c>
    </row>
    <row r="235" spans="1:13" hidden="1" x14ac:dyDescent="0.3">
      <c r="A235" s="3" t="s">
        <v>462</v>
      </c>
      <c r="B235" s="3" t="s">
        <v>43</v>
      </c>
      <c r="C235" s="3" t="s">
        <v>463</v>
      </c>
      <c r="D235" s="3" t="s">
        <v>22</v>
      </c>
      <c r="E235" s="3" t="s">
        <v>56</v>
      </c>
      <c r="F235" s="3">
        <v>1272</v>
      </c>
      <c r="G235" s="3">
        <v>465</v>
      </c>
      <c r="H235" s="3">
        <v>99</v>
      </c>
      <c r="I235" s="3">
        <v>24168</v>
      </c>
      <c r="J235" s="3">
        <v>23719</v>
      </c>
      <c r="K235" s="3">
        <v>42</v>
      </c>
      <c r="L235" s="4" t="s">
        <v>30</v>
      </c>
      <c r="M235" s="5"/>
    </row>
    <row r="236" spans="1:13" hidden="1" x14ac:dyDescent="0.3">
      <c r="A236" s="3" t="s">
        <v>464</v>
      </c>
      <c r="B236" s="3" t="s">
        <v>43</v>
      </c>
      <c r="C236" s="3" t="s">
        <v>392</v>
      </c>
      <c r="D236" s="3" t="s">
        <v>52</v>
      </c>
      <c r="E236" s="3" t="s">
        <v>59</v>
      </c>
      <c r="F236" s="3">
        <v>3196</v>
      </c>
      <c r="G236" s="3">
        <v>941</v>
      </c>
      <c r="H236" s="3">
        <v>376</v>
      </c>
      <c r="I236" s="3">
        <v>35156</v>
      </c>
      <c r="J236" s="3">
        <v>34444</v>
      </c>
      <c r="K236" s="3">
        <v>241</v>
      </c>
      <c r="L236" s="4" t="s">
        <v>30</v>
      </c>
      <c r="M236" s="5" t="s">
        <v>31</v>
      </c>
    </row>
    <row r="237" spans="1:13" hidden="1" x14ac:dyDescent="0.3">
      <c r="A237" s="3" t="s">
        <v>465</v>
      </c>
      <c r="B237" s="3" t="s">
        <v>43</v>
      </c>
      <c r="C237" s="3" t="s">
        <v>81</v>
      </c>
      <c r="D237" s="3" t="s">
        <v>22</v>
      </c>
      <c r="E237" s="3" t="s">
        <v>56</v>
      </c>
      <c r="F237" s="3">
        <v>1257</v>
      </c>
      <c r="G237" s="3">
        <v>19</v>
      </c>
      <c r="H237" s="3">
        <v>351</v>
      </c>
      <c r="I237" s="3">
        <v>12570</v>
      </c>
      <c r="J237" s="3">
        <v>11660</v>
      </c>
      <c r="K237" s="3">
        <v>194</v>
      </c>
      <c r="L237" s="4" t="s">
        <v>466</v>
      </c>
      <c r="M237" s="5" t="s">
        <v>25</v>
      </c>
    </row>
    <row r="238" spans="1:13" hidden="1" x14ac:dyDescent="0.3">
      <c r="A238" s="3" t="s">
        <v>467</v>
      </c>
      <c r="B238" s="3" t="s">
        <v>33</v>
      </c>
      <c r="C238" s="3" t="s">
        <v>341</v>
      </c>
      <c r="D238" s="3" t="s">
        <v>35</v>
      </c>
      <c r="E238" s="3" t="s">
        <v>36</v>
      </c>
      <c r="F238" s="3">
        <v>3770</v>
      </c>
      <c r="G238" s="3">
        <v>917</v>
      </c>
      <c r="H238" s="3">
        <v>129</v>
      </c>
      <c r="I238" s="3">
        <v>71630</v>
      </c>
      <c r="J238" s="3">
        <v>71322</v>
      </c>
      <c r="K238" s="3">
        <v>76</v>
      </c>
      <c r="L238" s="4" t="s">
        <v>62</v>
      </c>
      <c r="M238" s="5" t="s">
        <v>19</v>
      </c>
    </row>
    <row r="239" spans="1:13" x14ac:dyDescent="0.3">
      <c r="A239" s="3" t="s">
        <v>468</v>
      </c>
      <c r="B239" s="3" t="s">
        <v>14</v>
      </c>
      <c r="C239" s="3" t="s">
        <v>469</v>
      </c>
      <c r="D239" s="3" t="s">
        <v>22</v>
      </c>
      <c r="E239" s="3" t="s">
        <v>23</v>
      </c>
      <c r="F239" s="3">
        <v>4725</v>
      </c>
      <c r="G239" s="3">
        <v>400</v>
      </c>
      <c r="H239" s="3">
        <v>362</v>
      </c>
      <c r="I239" s="3">
        <v>75600</v>
      </c>
      <c r="J239" s="3">
        <v>74927</v>
      </c>
      <c r="K239" s="3">
        <v>43</v>
      </c>
      <c r="L239" s="4" t="s">
        <v>62</v>
      </c>
      <c r="M239" s="5" t="s">
        <v>38</v>
      </c>
    </row>
    <row r="240" spans="1:13" hidden="1" x14ac:dyDescent="0.3">
      <c r="A240" s="3" t="s">
        <v>470</v>
      </c>
      <c r="B240" s="3" t="s">
        <v>27</v>
      </c>
      <c r="C240" s="3" t="s">
        <v>147</v>
      </c>
      <c r="D240" s="3" t="s">
        <v>22</v>
      </c>
      <c r="E240" s="3" t="s">
        <v>104</v>
      </c>
      <c r="F240" s="3">
        <v>4188</v>
      </c>
      <c r="G240" s="3">
        <v>942</v>
      </c>
      <c r="H240" s="3">
        <v>118</v>
      </c>
      <c r="I240" s="3">
        <v>20940</v>
      </c>
      <c r="J240" s="3">
        <v>20471</v>
      </c>
      <c r="K240" s="3">
        <v>102</v>
      </c>
      <c r="L240" s="4" t="s">
        <v>62</v>
      </c>
      <c r="M240" s="5"/>
    </row>
    <row r="241" spans="1:13" hidden="1" x14ac:dyDescent="0.3">
      <c r="A241" s="3" t="s">
        <v>471</v>
      </c>
      <c r="B241" s="3" t="s">
        <v>14</v>
      </c>
      <c r="C241" s="3" t="s">
        <v>77</v>
      </c>
      <c r="D241" s="3" t="s">
        <v>45</v>
      </c>
      <c r="E241" s="3" t="s">
        <v>49</v>
      </c>
      <c r="F241" s="3">
        <v>929</v>
      </c>
      <c r="G241" s="3">
        <v>192</v>
      </c>
      <c r="H241" s="3">
        <v>322</v>
      </c>
      <c r="I241" s="3">
        <v>16722</v>
      </c>
      <c r="J241" s="3">
        <v>15996</v>
      </c>
      <c r="K241" s="3">
        <v>145</v>
      </c>
      <c r="L241" s="4" t="s">
        <v>175</v>
      </c>
      <c r="M241" s="5" t="s">
        <v>31</v>
      </c>
    </row>
    <row r="242" spans="1:13" x14ac:dyDescent="0.3">
      <c r="A242" s="3" t="s">
        <v>472</v>
      </c>
      <c r="B242" s="3" t="s">
        <v>43</v>
      </c>
      <c r="C242" s="3" t="s">
        <v>473</v>
      </c>
      <c r="D242" s="3" t="s">
        <v>35</v>
      </c>
      <c r="E242" s="3" t="s">
        <v>71</v>
      </c>
      <c r="F242" s="3">
        <v>4321</v>
      </c>
      <c r="G242" s="3">
        <v>874</v>
      </c>
      <c r="H242" s="3">
        <v>172</v>
      </c>
      <c r="I242" s="3">
        <v>30247</v>
      </c>
      <c r="J242" s="3">
        <v>29254</v>
      </c>
      <c r="K242" s="3">
        <v>122</v>
      </c>
      <c r="L242" s="4" t="s">
        <v>30</v>
      </c>
      <c r="M242" s="5" t="s">
        <v>38</v>
      </c>
    </row>
    <row r="243" spans="1:13" hidden="1" x14ac:dyDescent="0.3">
      <c r="A243" s="3" t="s">
        <v>474</v>
      </c>
      <c r="B243" s="3" t="s">
        <v>43</v>
      </c>
      <c r="C243" s="3" t="s">
        <v>228</v>
      </c>
      <c r="D243" s="3" t="s">
        <v>16</v>
      </c>
      <c r="E243" s="3" t="s">
        <v>65</v>
      </c>
      <c r="F243" s="3">
        <v>4767</v>
      </c>
      <c r="G243" s="3">
        <v>190</v>
      </c>
      <c r="H243" s="3">
        <v>340</v>
      </c>
      <c r="I243" s="3">
        <v>28602</v>
      </c>
      <c r="J243" s="3">
        <v>28044</v>
      </c>
      <c r="K243" s="3">
        <v>210</v>
      </c>
      <c r="L243" s="4" t="s">
        <v>37</v>
      </c>
      <c r="M243" s="5" t="s">
        <v>31</v>
      </c>
    </row>
    <row r="244" spans="1:13" x14ac:dyDescent="0.3">
      <c r="A244" s="3" t="s">
        <v>475</v>
      </c>
      <c r="B244" s="3" t="s">
        <v>14</v>
      </c>
      <c r="C244" s="3" t="s">
        <v>476</v>
      </c>
      <c r="D244" s="3" t="s">
        <v>52</v>
      </c>
      <c r="E244" s="3" t="s">
        <v>132</v>
      </c>
      <c r="F244" s="3">
        <v>3592</v>
      </c>
      <c r="G244" s="3">
        <v>911</v>
      </c>
      <c r="H244" s="3">
        <v>375</v>
      </c>
      <c r="I244" s="3">
        <v>50288</v>
      </c>
      <c r="J244" s="3">
        <v>49490</v>
      </c>
      <c r="K244" s="3">
        <v>32</v>
      </c>
      <c r="L244" s="4" t="s">
        <v>62</v>
      </c>
      <c r="M244" s="5" t="s">
        <v>38</v>
      </c>
    </row>
    <row r="245" spans="1:13" hidden="1" x14ac:dyDescent="0.3">
      <c r="A245" s="3" t="s">
        <v>477</v>
      </c>
      <c r="B245" s="3" t="s">
        <v>27</v>
      </c>
      <c r="C245" s="3" t="s">
        <v>478</v>
      </c>
      <c r="D245" s="3" t="s">
        <v>74</v>
      </c>
      <c r="E245" s="3" t="s">
        <v>219</v>
      </c>
      <c r="F245" s="3">
        <v>4661</v>
      </c>
      <c r="G245" s="3">
        <v>935</v>
      </c>
      <c r="H245" s="3">
        <v>433</v>
      </c>
      <c r="I245" s="3">
        <v>23305</v>
      </c>
      <c r="J245" s="3">
        <v>22583</v>
      </c>
      <c r="K245" s="3">
        <v>63</v>
      </c>
      <c r="L245" s="4" t="s">
        <v>62</v>
      </c>
      <c r="M245" s="5" t="s">
        <v>31</v>
      </c>
    </row>
    <row r="246" spans="1:13" hidden="1" x14ac:dyDescent="0.3">
      <c r="A246" s="3" t="s">
        <v>479</v>
      </c>
      <c r="B246" s="3" t="s">
        <v>43</v>
      </c>
      <c r="C246" s="3" t="s">
        <v>480</v>
      </c>
      <c r="D246" s="3" t="s">
        <v>16</v>
      </c>
      <c r="E246" s="3" t="s">
        <v>65</v>
      </c>
      <c r="F246" s="3">
        <v>4134</v>
      </c>
      <c r="G246" s="3">
        <v>824</v>
      </c>
      <c r="H246" s="3">
        <v>99</v>
      </c>
      <c r="I246" s="3">
        <v>41340</v>
      </c>
      <c r="J246" s="3">
        <v>41050</v>
      </c>
      <c r="K246" s="3">
        <v>177</v>
      </c>
      <c r="L246" s="4" t="s">
        <v>37</v>
      </c>
      <c r="M246" s="5" t="s">
        <v>19</v>
      </c>
    </row>
    <row r="247" spans="1:13" hidden="1" x14ac:dyDescent="0.3">
      <c r="A247" s="3" t="s">
        <v>481</v>
      </c>
      <c r="B247" s="3" t="s">
        <v>43</v>
      </c>
      <c r="C247" s="3" t="s">
        <v>482</v>
      </c>
      <c r="D247" s="3" t="s">
        <v>52</v>
      </c>
      <c r="E247" s="3" t="s">
        <v>59</v>
      </c>
      <c r="F247" s="3">
        <v>400</v>
      </c>
      <c r="G247" s="3">
        <v>680</v>
      </c>
      <c r="H247" s="3">
        <v>434</v>
      </c>
      <c r="I247" s="3">
        <v>6400</v>
      </c>
      <c r="J247" s="3">
        <v>5472</v>
      </c>
      <c r="K247" s="3">
        <v>160</v>
      </c>
      <c r="L247" s="4" t="s">
        <v>62</v>
      </c>
      <c r="M247" s="5" t="s">
        <v>25</v>
      </c>
    </row>
    <row r="248" spans="1:13" hidden="1" x14ac:dyDescent="0.3">
      <c r="A248" s="3" t="s">
        <v>483</v>
      </c>
      <c r="B248" s="3" t="s">
        <v>43</v>
      </c>
      <c r="C248" s="3" t="s">
        <v>484</v>
      </c>
      <c r="D248" s="3" t="s">
        <v>16</v>
      </c>
      <c r="E248" s="3" t="s">
        <v>65</v>
      </c>
      <c r="F248" s="3">
        <v>3960</v>
      </c>
      <c r="G248" s="3">
        <v>266</v>
      </c>
      <c r="H248" s="3">
        <v>8</v>
      </c>
      <c r="I248" s="3">
        <v>35640</v>
      </c>
      <c r="J248" s="3">
        <v>34850</v>
      </c>
      <c r="K248" s="3">
        <v>208</v>
      </c>
      <c r="L248" s="4" t="s">
        <v>485</v>
      </c>
      <c r="M248" s="5"/>
    </row>
    <row r="249" spans="1:13" hidden="1" x14ac:dyDescent="0.3">
      <c r="A249" s="3" t="s">
        <v>486</v>
      </c>
      <c r="B249" s="3" t="s">
        <v>43</v>
      </c>
      <c r="C249" s="3" t="s">
        <v>61</v>
      </c>
      <c r="D249" s="3" t="s">
        <v>35</v>
      </c>
      <c r="E249" s="3" t="s">
        <v>71</v>
      </c>
      <c r="F249" s="3">
        <v>886</v>
      </c>
      <c r="G249" s="3">
        <v>126</v>
      </c>
      <c r="H249" s="3">
        <v>153</v>
      </c>
      <c r="I249" s="3">
        <v>4430</v>
      </c>
      <c r="J249" s="3">
        <v>4037</v>
      </c>
      <c r="K249" s="3">
        <v>212</v>
      </c>
      <c r="L249" s="4" t="s">
        <v>37</v>
      </c>
      <c r="M249" s="5"/>
    </row>
    <row r="250" spans="1:13" hidden="1" x14ac:dyDescent="0.3">
      <c r="A250" s="3" t="s">
        <v>487</v>
      </c>
      <c r="B250" s="3" t="s">
        <v>14</v>
      </c>
      <c r="C250" s="3" t="s">
        <v>430</v>
      </c>
      <c r="D250" s="3" t="s">
        <v>52</v>
      </c>
      <c r="E250" s="3" t="s">
        <v>132</v>
      </c>
      <c r="F250" s="3">
        <v>827</v>
      </c>
      <c r="G250" s="3">
        <v>77</v>
      </c>
      <c r="H250" s="3">
        <v>402</v>
      </c>
      <c r="I250" s="3">
        <v>14886</v>
      </c>
      <c r="J250" s="3">
        <v>14129</v>
      </c>
      <c r="K250" s="3">
        <v>254</v>
      </c>
      <c r="L250" s="4" t="s">
        <v>37</v>
      </c>
      <c r="M250" s="5" t="s">
        <v>25</v>
      </c>
    </row>
    <row r="251" spans="1:13" hidden="1" x14ac:dyDescent="0.3">
      <c r="A251" s="3" t="s">
        <v>488</v>
      </c>
      <c r="B251" s="3" t="s">
        <v>43</v>
      </c>
      <c r="C251" s="3" t="s">
        <v>172</v>
      </c>
      <c r="D251" s="3" t="s">
        <v>16</v>
      </c>
      <c r="E251" s="3" t="s">
        <v>65</v>
      </c>
      <c r="F251" s="3">
        <v>3813</v>
      </c>
      <c r="G251" s="3">
        <v>935</v>
      </c>
      <c r="H251" s="3">
        <v>274</v>
      </c>
      <c r="I251" s="3">
        <v>68634</v>
      </c>
      <c r="J251" s="3">
        <v>68488</v>
      </c>
      <c r="K251" s="3">
        <v>251</v>
      </c>
      <c r="L251" s="4" t="s">
        <v>62</v>
      </c>
      <c r="M251" s="5"/>
    </row>
    <row r="252" spans="1:13" hidden="1" x14ac:dyDescent="0.3">
      <c r="A252" s="3" t="s">
        <v>489</v>
      </c>
      <c r="B252" s="3" t="s">
        <v>33</v>
      </c>
      <c r="C252" s="3" t="s">
        <v>490</v>
      </c>
      <c r="D252" s="3" t="s">
        <v>45</v>
      </c>
      <c r="E252" s="3" t="s">
        <v>88</v>
      </c>
      <c r="F252" s="3">
        <v>1377</v>
      </c>
      <c r="G252" s="3">
        <v>796</v>
      </c>
      <c r="H252" s="3">
        <v>387</v>
      </c>
      <c r="I252" s="3">
        <v>22032</v>
      </c>
      <c r="J252" s="3">
        <v>21869</v>
      </c>
      <c r="K252" s="3">
        <v>189</v>
      </c>
      <c r="L252" s="4" t="s">
        <v>62</v>
      </c>
      <c r="M252" s="5"/>
    </row>
    <row r="253" spans="1:13" hidden="1" x14ac:dyDescent="0.3">
      <c r="A253" s="3" t="s">
        <v>491</v>
      </c>
      <c r="B253" s="3" t="s">
        <v>43</v>
      </c>
      <c r="C253" s="3" t="s">
        <v>364</v>
      </c>
      <c r="D253" s="3" t="s">
        <v>45</v>
      </c>
      <c r="E253" s="3" t="s">
        <v>46</v>
      </c>
      <c r="F253" s="3">
        <v>2089</v>
      </c>
      <c r="G253" s="3">
        <v>476</v>
      </c>
      <c r="H253" s="3">
        <v>69</v>
      </c>
      <c r="I253" s="3">
        <v>16712</v>
      </c>
      <c r="J253" s="3">
        <v>16309</v>
      </c>
      <c r="K253" s="3">
        <v>64</v>
      </c>
      <c r="L253" s="4" t="s">
        <v>62</v>
      </c>
      <c r="M253" s="5" t="s">
        <v>31</v>
      </c>
    </row>
    <row r="254" spans="1:13" hidden="1" x14ac:dyDescent="0.3">
      <c r="A254" s="3" t="s">
        <v>492</v>
      </c>
      <c r="B254" s="3" t="s">
        <v>14</v>
      </c>
      <c r="C254" s="3" t="s">
        <v>493</v>
      </c>
      <c r="D254" s="3" t="s">
        <v>16</v>
      </c>
      <c r="E254" s="3" t="s">
        <v>17</v>
      </c>
      <c r="F254" s="3">
        <v>3791</v>
      </c>
      <c r="G254" s="3">
        <v>593</v>
      </c>
      <c r="H254" s="3">
        <v>228</v>
      </c>
      <c r="I254" s="3">
        <v>53074</v>
      </c>
      <c r="J254" s="3">
        <v>52613</v>
      </c>
      <c r="K254" s="3">
        <v>205</v>
      </c>
      <c r="L254" s="4" t="s">
        <v>37</v>
      </c>
      <c r="M254" s="5"/>
    </row>
    <row r="255" spans="1:13" hidden="1" x14ac:dyDescent="0.3">
      <c r="A255" s="3" t="s">
        <v>494</v>
      </c>
      <c r="B255" s="3" t="s">
        <v>14</v>
      </c>
      <c r="C255" s="3" t="s">
        <v>495</v>
      </c>
      <c r="D255" s="3" t="s">
        <v>52</v>
      </c>
      <c r="E255" s="3" t="s">
        <v>132</v>
      </c>
      <c r="F255" s="3">
        <v>2692</v>
      </c>
      <c r="G255" s="3">
        <v>115</v>
      </c>
      <c r="H255" s="3">
        <v>64</v>
      </c>
      <c r="I255" s="3">
        <v>21536</v>
      </c>
      <c r="J255" s="3">
        <v>21120</v>
      </c>
      <c r="K255" s="3">
        <v>224</v>
      </c>
      <c r="L255" s="4" t="s">
        <v>62</v>
      </c>
      <c r="M255" s="5" t="s">
        <v>25</v>
      </c>
    </row>
    <row r="256" spans="1:13" x14ac:dyDescent="0.3">
      <c r="A256" s="3" t="s">
        <v>496</v>
      </c>
      <c r="B256" s="3" t="s">
        <v>43</v>
      </c>
      <c r="C256" s="3" t="s">
        <v>21</v>
      </c>
      <c r="D256" s="3" t="s">
        <v>35</v>
      </c>
      <c r="E256" s="3" t="s">
        <v>71</v>
      </c>
      <c r="F256" s="3">
        <v>3767</v>
      </c>
      <c r="G256" s="3">
        <v>514</v>
      </c>
      <c r="H256" s="3">
        <v>238</v>
      </c>
      <c r="I256" s="3">
        <v>37670</v>
      </c>
      <c r="J256" s="3">
        <v>36807</v>
      </c>
      <c r="K256" s="3">
        <v>226</v>
      </c>
      <c r="L256" s="4" t="s">
        <v>62</v>
      </c>
      <c r="M256" s="5" t="s">
        <v>38</v>
      </c>
    </row>
    <row r="257" spans="1:13" hidden="1" x14ac:dyDescent="0.3">
      <c r="A257" s="3" t="s">
        <v>497</v>
      </c>
      <c r="B257" s="3" t="s">
        <v>27</v>
      </c>
      <c r="C257" s="3" t="s">
        <v>252</v>
      </c>
      <c r="D257" s="3" t="s">
        <v>45</v>
      </c>
      <c r="E257" s="3" t="s">
        <v>68</v>
      </c>
      <c r="F257" s="3">
        <v>2143</v>
      </c>
      <c r="G257" s="3">
        <v>12</v>
      </c>
      <c r="H257" s="3">
        <v>204</v>
      </c>
      <c r="I257" s="3">
        <v>40717</v>
      </c>
      <c r="J257" s="3">
        <v>40125</v>
      </c>
      <c r="K257" s="3">
        <v>248</v>
      </c>
      <c r="L257" s="4" t="s">
        <v>37</v>
      </c>
      <c r="M257" s="5" t="s">
        <v>25</v>
      </c>
    </row>
    <row r="258" spans="1:13" hidden="1" x14ac:dyDescent="0.3">
      <c r="A258" s="3" t="s">
        <v>498</v>
      </c>
      <c r="B258" s="3" t="s">
        <v>43</v>
      </c>
      <c r="C258" s="3" t="s">
        <v>291</v>
      </c>
      <c r="D258" s="3" t="s">
        <v>52</v>
      </c>
      <c r="E258" s="3" t="s">
        <v>59</v>
      </c>
      <c r="F258" s="3">
        <v>3090</v>
      </c>
      <c r="G258" s="3">
        <v>697</v>
      </c>
      <c r="H258" s="3">
        <v>164</v>
      </c>
      <c r="I258" s="3">
        <v>49440</v>
      </c>
      <c r="J258" s="3">
        <v>48524</v>
      </c>
      <c r="K258" s="3">
        <v>25</v>
      </c>
      <c r="L258" s="4" t="s">
        <v>499</v>
      </c>
      <c r="M258" s="5" t="s">
        <v>25</v>
      </c>
    </row>
    <row r="259" spans="1:13" hidden="1" x14ac:dyDescent="0.3">
      <c r="A259" s="3" t="s">
        <v>500</v>
      </c>
      <c r="B259" s="3" t="s">
        <v>33</v>
      </c>
      <c r="C259" s="3" t="s">
        <v>501</v>
      </c>
      <c r="D259" s="3" t="s">
        <v>35</v>
      </c>
      <c r="E259" s="3" t="s">
        <v>36</v>
      </c>
      <c r="F259" s="3">
        <v>3601</v>
      </c>
      <c r="G259" s="3">
        <v>695</v>
      </c>
      <c r="H259" s="3">
        <v>75</v>
      </c>
      <c r="I259" s="3">
        <v>21606</v>
      </c>
      <c r="J259" s="3">
        <v>21454</v>
      </c>
      <c r="K259" s="3">
        <v>172</v>
      </c>
      <c r="L259" s="4" t="s">
        <v>37</v>
      </c>
      <c r="M259" s="5" t="s">
        <v>25</v>
      </c>
    </row>
    <row r="260" spans="1:13" hidden="1" x14ac:dyDescent="0.3">
      <c r="A260" s="3" t="s">
        <v>502</v>
      </c>
      <c r="B260" s="3" t="s">
        <v>43</v>
      </c>
      <c r="C260" s="3" t="s">
        <v>249</v>
      </c>
      <c r="D260" s="3" t="s">
        <v>22</v>
      </c>
      <c r="E260" s="3" t="s">
        <v>56</v>
      </c>
      <c r="F260" s="3">
        <v>562</v>
      </c>
      <c r="G260" s="3">
        <v>158</v>
      </c>
      <c r="H260" s="3">
        <v>149</v>
      </c>
      <c r="I260" s="3">
        <v>3372</v>
      </c>
      <c r="J260" s="3">
        <v>2940</v>
      </c>
      <c r="K260" s="3">
        <v>93</v>
      </c>
      <c r="L260" s="4" t="s">
        <v>30</v>
      </c>
      <c r="M260" s="5" t="s">
        <v>19</v>
      </c>
    </row>
    <row r="261" spans="1:13" hidden="1" x14ac:dyDescent="0.3">
      <c r="A261" s="3" t="s">
        <v>503</v>
      </c>
      <c r="B261" s="3" t="s">
        <v>33</v>
      </c>
      <c r="C261" s="3" t="s">
        <v>504</v>
      </c>
      <c r="D261" s="3" t="s">
        <v>35</v>
      </c>
      <c r="E261" s="3" t="s">
        <v>36</v>
      </c>
      <c r="F261" s="3">
        <v>4332</v>
      </c>
      <c r="G261" s="3">
        <v>771</v>
      </c>
      <c r="H261" s="3">
        <v>219</v>
      </c>
      <c r="I261" s="3">
        <v>60648</v>
      </c>
      <c r="J261" s="3">
        <v>60397</v>
      </c>
      <c r="K261" s="3">
        <v>10</v>
      </c>
      <c r="L261" s="4" t="s">
        <v>505</v>
      </c>
      <c r="M261" s="5" t="s">
        <v>31</v>
      </c>
    </row>
    <row r="262" spans="1:13" hidden="1" x14ac:dyDescent="0.3">
      <c r="A262" s="3" t="s">
        <v>506</v>
      </c>
      <c r="B262" s="3" t="s">
        <v>33</v>
      </c>
      <c r="C262" s="3" t="s">
        <v>507</v>
      </c>
      <c r="D262" s="3" t="s">
        <v>52</v>
      </c>
      <c r="E262" s="3" t="s">
        <v>215</v>
      </c>
      <c r="F262" s="3">
        <v>4853</v>
      </c>
      <c r="G262" s="3">
        <v>837</v>
      </c>
      <c r="H262" s="3">
        <v>340</v>
      </c>
      <c r="I262" s="3">
        <v>72795</v>
      </c>
      <c r="J262" s="3">
        <v>72237</v>
      </c>
      <c r="K262" s="3">
        <v>170</v>
      </c>
      <c r="L262" s="4" t="s">
        <v>37</v>
      </c>
      <c r="M262" s="5" t="s">
        <v>19</v>
      </c>
    </row>
    <row r="263" spans="1:13" hidden="1" x14ac:dyDescent="0.3">
      <c r="A263" s="3" t="s">
        <v>508</v>
      </c>
      <c r="B263" s="3" t="s">
        <v>27</v>
      </c>
      <c r="C263" s="3" t="s">
        <v>473</v>
      </c>
      <c r="D263" s="3" t="s">
        <v>52</v>
      </c>
      <c r="E263" s="3" t="s">
        <v>53</v>
      </c>
      <c r="F263" s="3">
        <v>1206</v>
      </c>
      <c r="G263" s="3">
        <v>238</v>
      </c>
      <c r="H263" s="3">
        <v>36</v>
      </c>
      <c r="I263" s="3">
        <v>9648</v>
      </c>
      <c r="J263" s="3">
        <v>9417</v>
      </c>
      <c r="K263" s="3">
        <v>237</v>
      </c>
      <c r="L263" s="4" t="s">
        <v>30</v>
      </c>
      <c r="M263" s="5"/>
    </row>
    <row r="264" spans="1:13" hidden="1" x14ac:dyDescent="0.3">
      <c r="A264" s="3" t="s">
        <v>509</v>
      </c>
      <c r="B264" s="3" t="s">
        <v>33</v>
      </c>
      <c r="C264" s="3" t="s">
        <v>510</v>
      </c>
      <c r="D264" s="3" t="s">
        <v>16</v>
      </c>
      <c r="E264" s="3" t="s">
        <v>82</v>
      </c>
      <c r="F264" s="3">
        <v>2603</v>
      </c>
      <c r="G264" s="3">
        <v>690</v>
      </c>
      <c r="H264" s="3">
        <v>205</v>
      </c>
      <c r="I264" s="3">
        <v>13015</v>
      </c>
      <c r="J264" s="3">
        <v>12130</v>
      </c>
      <c r="K264" s="3">
        <v>20</v>
      </c>
      <c r="L264" s="4" t="s">
        <v>62</v>
      </c>
      <c r="M264" s="5" t="s">
        <v>25</v>
      </c>
    </row>
    <row r="265" spans="1:13" hidden="1" x14ac:dyDescent="0.3">
      <c r="A265" s="3" t="s">
        <v>511</v>
      </c>
      <c r="B265" s="3" t="s">
        <v>14</v>
      </c>
      <c r="C265" s="3" t="s">
        <v>512</v>
      </c>
      <c r="D265" s="3" t="s">
        <v>52</v>
      </c>
      <c r="E265" s="3" t="s">
        <v>132</v>
      </c>
      <c r="F265" s="3">
        <v>59</v>
      </c>
      <c r="G265" s="3">
        <v>163</v>
      </c>
      <c r="H265" s="3">
        <v>93</v>
      </c>
      <c r="I265" s="3">
        <v>590</v>
      </c>
      <c r="J265" s="3">
        <v>475</v>
      </c>
      <c r="K265" s="3">
        <v>293</v>
      </c>
      <c r="L265" s="4" t="s">
        <v>30</v>
      </c>
      <c r="M265" s="5" t="s">
        <v>25</v>
      </c>
    </row>
    <row r="266" spans="1:13" x14ac:dyDescent="0.3">
      <c r="A266" s="3" t="s">
        <v>513</v>
      </c>
      <c r="B266" s="3" t="s">
        <v>14</v>
      </c>
      <c r="C266" s="3" t="s">
        <v>514</v>
      </c>
      <c r="D266" s="3" t="s">
        <v>45</v>
      </c>
      <c r="E266" s="3" t="s">
        <v>49</v>
      </c>
      <c r="F266" s="3">
        <v>1877</v>
      </c>
      <c r="G266" s="3">
        <v>745</v>
      </c>
      <c r="H266" s="3">
        <v>225</v>
      </c>
      <c r="I266" s="3">
        <v>11262</v>
      </c>
      <c r="J266" s="3">
        <v>10967</v>
      </c>
      <c r="K266" s="3">
        <v>41</v>
      </c>
      <c r="L266" s="4" t="s">
        <v>37</v>
      </c>
      <c r="M266" s="5" t="s">
        <v>38</v>
      </c>
    </row>
    <row r="267" spans="1:13" hidden="1" x14ac:dyDescent="0.3">
      <c r="A267" s="3" t="s">
        <v>515</v>
      </c>
      <c r="B267" s="3" t="s">
        <v>43</v>
      </c>
      <c r="C267" s="3" t="s">
        <v>129</v>
      </c>
      <c r="D267" s="3" t="s">
        <v>35</v>
      </c>
      <c r="E267" s="3" t="s">
        <v>71</v>
      </c>
      <c r="F267" s="3">
        <v>4182</v>
      </c>
      <c r="G267" s="3">
        <v>640</v>
      </c>
      <c r="H267" s="3">
        <v>240</v>
      </c>
      <c r="I267" s="3">
        <v>50184</v>
      </c>
      <c r="J267" s="3">
        <v>49351</v>
      </c>
      <c r="K267" s="3">
        <v>10</v>
      </c>
      <c r="L267" s="4" t="s">
        <v>30</v>
      </c>
      <c r="M267" s="5" t="s">
        <v>31</v>
      </c>
    </row>
    <row r="268" spans="1:13" hidden="1" x14ac:dyDescent="0.3">
      <c r="A268" s="3" t="s">
        <v>516</v>
      </c>
      <c r="B268" s="3" t="s">
        <v>14</v>
      </c>
      <c r="C268" s="3" t="s">
        <v>396</v>
      </c>
      <c r="D268" s="3" t="s">
        <v>16</v>
      </c>
      <c r="E268" s="3" t="s">
        <v>17</v>
      </c>
      <c r="F268" s="3">
        <v>4187</v>
      </c>
      <c r="G268" s="3">
        <v>66</v>
      </c>
      <c r="H268" s="3">
        <v>31</v>
      </c>
      <c r="I268" s="3">
        <v>66992</v>
      </c>
      <c r="J268" s="3">
        <v>66614</v>
      </c>
      <c r="K268" s="3">
        <v>62</v>
      </c>
      <c r="L268" s="4" t="s">
        <v>62</v>
      </c>
      <c r="M268" s="5"/>
    </row>
    <row r="269" spans="1:13" hidden="1" x14ac:dyDescent="0.3">
      <c r="A269" s="3" t="s">
        <v>517</v>
      </c>
      <c r="B269" s="3" t="s">
        <v>33</v>
      </c>
      <c r="C269" s="3" t="s">
        <v>518</v>
      </c>
      <c r="D269" s="3" t="s">
        <v>16</v>
      </c>
      <c r="E269" s="3" t="s">
        <v>82</v>
      </c>
      <c r="F269" s="3">
        <v>4579</v>
      </c>
      <c r="G269" s="3">
        <v>125</v>
      </c>
      <c r="H269" s="3">
        <v>300</v>
      </c>
      <c r="I269" s="3">
        <v>59527</v>
      </c>
      <c r="J269" s="3">
        <v>59400</v>
      </c>
      <c r="K269" s="3">
        <v>269</v>
      </c>
      <c r="L269" s="4" t="s">
        <v>37</v>
      </c>
      <c r="M269" s="5" t="s">
        <v>19</v>
      </c>
    </row>
    <row r="270" spans="1:13" hidden="1" x14ac:dyDescent="0.3">
      <c r="A270" s="3" t="s">
        <v>519</v>
      </c>
      <c r="B270" s="3" t="s">
        <v>33</v>
      </c>
      <c r="C270" s="3" t="s">
        <v>520</v>
      </c>
      <c r="D270" s="3" t="s">
        <v>74</v>
      </c>
      <c r="E270" s="3" t="s">
        <v>85</v>
      </c>
      <c r="F270" s="3">
        <v>4561</v>
      </c>
      <c r="G270" s="3">
        <v>51</v>
      </c>
      <c r="H270" s="3">
        <v>441</v>
      </c>
      <c r="I270" s="3">
        <v>22805</v>
      </c>
      <c r="J270" s="3">
        <v>21890</v>
      </c>
      <c r="K270" s="3">
        <v>45</v>
      </c>
      <c r="L270" s="4" t="s">
        <v>30</v>
      </c>
      <c r="M270" s="5" t="s">
        <v>25</v>
      </c>
    </row>
    <row r="271" spans="1:13" hidden="1" x14ac:dyDescent="0.3">
      <c r="A271" s="3" t="s">
        <v>521</v>
      </c>
      <c r="B271" s="3" t="s">
        <v>27</v>
      </c>
      <c r="C271" s="3" t="s">
        <v>414</v>
      </c>
      <c r="D271" s="3" t="s">
        <v>16</v>
      </c>
      <c r="E271" s="3" t="s">
        <v>29</v>
      </c>
      <c r="F271" s="3">
        <v>3774</v>
      </c>
      <c r="G271" s="3">
        <v>239</v>
      </c>
      <c r="H271" s="3">
        <v>39</v>
      </c>
      <c r="I271" s="3">
        <v>60384</v>
      </c>
      <c r="J271" s="3">
        <v>59490</v>
      </c>
      <c r="K271" s="3">
        <v>241</v>
      </c>
      <c r="L271" s="4" t="s">
        <v>30</v>
      </c>
      <c r="M271" s="5" t="s">
        <v>31</v>
      </c>
    </row>
    <row r="272" spans="1:13" hidden="1" x14ac:dyDescent="0.3">
      <c r="A272" s="3" t="s">
        <v>522</v>
      </c>
      <c r="B272" s="3" t="s">
        <v>33</v>
      </c>
      <c r="C272" s="3" t="s">
        <v>523</v>
      </c>
      <c r="D272" s="3" t="s">
        <v>74</v>
      </c>
      <c r="E272" s="3" t="s">
        <v>85</v>
      </c>
      <c r="F272" s="3">
        <v>3575</v>
      </c>
      <c r="G272" s="3">
        <v>749</v>
      </c>
      <c r="H272" s="3">
        <v>111</v>
      </c>
      <c r="I272" s="3">
        <v>21450</v>
      </c>
      <c r="J272" s="3">
        <v>20785</v>
      </c>
      <c r="K272" s="3">
        <v>195</v>
      </c>
      <c r="L272" s="4" t="s">
        <v>37</v>
      </c>
      <c r="M272" s="5" t="s">
        <v>25</v>
      </c>
    </row>
    <row r="273" spans="1:13" hidden="1" x14ac:dyDescent="0.3">
      <c r="A273" s="3" t="s">
        <v>524</v>
      </c>
      <c r="B273" s="3" t="s">
        <v>33</v>
      </c>
      <c r="C273" s="3" t="s">
        <v>490</v>
      </c>
      <c r="D273" s="3" t="s">
        <v>22</v>
      </c>
      <c r="E273" s="3" t="s">
        <v>113</v>
      </c>
      <c r="F273" s="3">
        <v>4941</v>
      </c>
      <c r="G273" s="3">
        <v>414</v>
      </c>
      <c r="H273" s="3">
        <v>266</v>
      </c>
      <c r="I273" s="3">
        <v>39528</v>
      </c>
      <c r="J273" s="3">
        <v>39154</v>
      </c>
      <c r="K273" s="3">
        <v>217</v>
      </c>
      <c r="L273" s="4" t="s">
        <v>30</v>
      </c>
      <c r="M273" s="5" t="s">
        <v>31</v>
      </c>
    </row>
    <row r="274" spans="1:13" x14ac:dyDescent="0.3">
      <c r="A274" s="3" t="s">
        <v>525</v>
      </c>
      <c r="B274" s="3" t="s">
        <v>27</v>
      </c>
      <c r="C274" s="3" t="s">
        <v>526</v>
      </c>
      <c r="D274" s="3" t="s">
        <v>35</v>
      </c>
      <c r="E274" s="3" t="s">
        <v>154</v>
      </c>
      <c r="F274" s="3">
        <v>3641</v>
      </c>
      <c r="G274" s="3">
        <v>226</v>
      </c>
      <c r="H274" s="3">
        <v>46</v>
      </c>
      <c r="I274" s="3">
        <v>40051</v>
      </c>
      <c r="J274" s="3">
        <v>39319</v>
      </c>
      <c r="K274" s="3">
        <v>296</v>
      </c>
      <c r="L274" s="4" t="s">
        <v>37</v>
      </c>
      <c r="M274" s="5" t="s">
        <v>38</v>
      </c>
    </row>
    <row r="275" spans="1:13" x14ac:dyDescent="0.3">
      <c r="A275" s="3" t="s">
        <v>527</v>
      </c>
      <c r="B275" s="3" t="s">
        <v>14</v>
      </c>
      <c r="C275" s="3" t="s">
        <v>336</v>
      </c>
      <c r="D275" s="3" t="s">
        <v>45</v>
      </c>
      <c r="E275" s="3" t="s">
        <v>49</v>
      </c>
      <c r="F275" s="3">
        <v>3535</v>
      </c>
      <c r="G275" s="3">
        <v>494</v>
      </c>
      <c r="H275" s="3">
        <v>152</v>
      </c>
      <c r="I275" s="3">
        <v>53025</v>
      </c>
      <c r="J275" s="3">
        <v>52791</v>
      </c>
      <c r="K275" s="3">
        <v>44</v>
      </c>
      <c r="L275" s="4" t="s">
        <v>30</v>
      </c>
      <c r="M275" s="5" t="s">
        <v>38</v>
      </c>
    </row>
    <row r="276" spans="1:13" hidden="1" x14ac:dyDescent="0.3">
      <c r="A276" s="3" t="s">
        <v>528</v>
      </c>
      <c r="B276" s="3" t="s">
        <v>43</v>
      </c>
      <c r="C276" s="3" t="s">
        <v>501</v>
      </c>
      <c r="D276" s="3" t="s">
        <v>16</v>
      </c>
      <c r="E276" s="3" t="s">
        <v>65</v>
      </c>
      <c r="F276" s="3">
        <v>1741</v>
      </c>
      <c r="G276" s="3">
        <v>831</v>
      </c>
      <c r="H276" s="3">
        <v>345</v>
      </c>
      <c r="I276" s="3">
        <v>17410</v>
      </c>
      <c r="J276" s="3">
        <v>16844</v>
      </c>
      <c r="K276" s="3">
        <v>58</v>
      </c>
      <c r="L276" s="4" t="s">
        <v>37</v>
      </c>
      <c r="M276" s="5" t="s">
        <v>31</v>
      </c>
    </row>
    <row r="277" spans="1:13" hidden="1" x14ac:dyDescent="0.3">
      <c r="A277" s="3" t="s">
        <v>529</v>
      </c>
      <c r="B277" s="3" t="s">
        <v>14</v>
      </c>
      <c r="C277" s="3" t="s">
        <v>530</v>
      </c>
      <c r="D277" s="3" t="s">
        <v>45</v>
      </c>
      <c r="E277" s="3" t="s">
        <v>49</v>
      </c>
      <c r="F277" s="3">
        <v>1556</v>
      </c>
      <c r="G277" s="3">
        <v>195</v>
      </c>
      <c r="H277" s="3">
        <v>131</v>
      </c>
      <c r="I277" s="3">
        <v>9336</v>
      </c>
      <c r="J277" s="3">
        <v>8875</v>
      </c>
      <c r="K277" s="3">
        <v>137</v>
      </c>
      <c r="L277" s="4" t="s">
        <v>30</v>
      </c>
      <c r="M277" s="5" t="s">
        <v>25</v>
      </c>
    </row>
    <row r="278" spans="1:13" hidden="1" x14ac:dyDescent="0.3">
      <c r="A278" s="3" t="s">
        <v>531</v>
      </c>
      <c r="B278" s="3" t="s">
        <v>43</v>
      </c>
      <c r="C278" s="3" t="s">
        <v>291</v>
      </c>
      <c r="D278" s="3" t="s">
        <v>52</v>
      </c>
      <c r="E278" s="3" t="s">
        <v>59</v>
      </c>
      <c r="F278" s="3">
        <v>4236</v>
      </c>
      <c r="G278" s="3">
        <v>711</v>
      </c>
      <c r="H278" s="3">
        <v>298</v>
      </c>
      <c r="I278" s="3">
        <v>21180</v>
      </c>
      <c r="J278" s="3">
        <v>20516</v>
      </c>
      <c r="K278" s="3">
        <v>238</v>
      </c>
      <c r="L278" s="4" t="s">
        <v>62</v>
      </c>
      <c r="M278" s="5" t="s">
        <v>19</v>
      </c>
    </row>
    <row r="279" spans="1:13" x14ac:dyDescent="0.3">
      <c r="A279" s="3" t="s">
        <v>532</v>
      </c>
      <c r="B279" s="3" t="s">
        <v>14</v>
      </c>
      <c r="C279" s="3" t="s">
        <v>533</v>
      </c>
      <c r="D279" s="3" t="s">
        <v>22</v>
      </c>
      <c r="E279" s="3" t="s">
        <v>23</v>
      </c>
      <c r="F279" s="3">
        <v>4516</v>
      </c>
      <c r="G279" s="3">
        <v>836</v>
      </c>
      <c r="H279" s="3">
        <v>169</v>
      </c>
      <c r="I279" s="3">
        <v>49676</v>
      </c>
      <c r="J279" s="3">
        <v>49257</v>
      </c>
      <c r="K279" s="3">
        <v>282</v>
      </c>
      <c r="L279" s="4" t="s">
        <v>37</v>
      </c>
      <c r="M279" s="5" t="s">
        <v>38</v>
      </c>
    </row>
    <row r="280" spans="1:13" hidden="1" x14ac:dyDescent="0.3">
      <c r="A280" s="3" t="s">
        <v>534</v>
      </c>
      <c r="B280" s="3" t="s">
        <v>27</v>
      </c>
      <c r="C280" s="3" t="s">
        <v>195</v>
      </c>
      <c r="D280" s="3" t="s">
        <v>52</v>
      </c>
      <c r="E280" s="3" t="s">
        <v>53</v>
      </c>
      <c r="F280" s="3">
        <v>4905</v>
      </c>
      <c r="G280" s="3">
        <v>845</v>
      </c>
      <c r="H280" s="3">
        <v>129</v>
      </c>
      <c r="I280" s="3">
        <v>98100</v>
      </c>
      <c r="J280" s="3">
        <v>97772</v>
      </c>
      <c r="K280" s="3">
        <v>279</v>
      </c>
      <c r="L280" s="4" t="s">
        <v>30</v>
      </c>
      <c r="M280" s="5" t="s">
        <v>25</v>
      </c>
    </row>
    <row r="281" spans="1:13" x14ac:dyDescent="0.3">
      <c r="A281" s="3" t="s">
        <v>535</v>
      </c>
      <c r="B281" s="3" t="s">
        <v>27</v>
      </c>
      <c r="C281" s="3" t="s">
        <v>168</v>
      </c>
      <c r="D281" s="3" t="s">
        <v>74</v>
      </c>
      <c r="E281" s="3" t="s">
        <v>219</v>
      </c>
      <c r="F281" s="3">
        <v>4275</v>
      </c>
      <c r="G281" s="3">
        <v>680</v>
      </c>
      <c r="H281" s="3">
        <v>385</v>
      </c>
      <c r="I281" s="3">
        <v>64125</v>
      </c>
      <c r="J281" s="3">
        <v>63650</v>
      </c>
      <c r="K281" s="3">
        <v>104</v>
      </c>
      <c r="L281" s="4" t="s">
        <v>175</v>
      </c>
      <c r="M281" s="5" t="s">
        <v>38</v>
      </c>
    </row>
    <row r="282" spans="1:13" hidden="1" x14ac:dyDescent="0.3">
      <c r="A282" s="3" t="s">
        <v>536</v>
      </c>
      <c r="B282" s="3" t="s">
        <v>27</v>
      </c>
      <c r="C282" s="3" t="s">
        <v>537</v>
      </c>
      <c r="D282" s="3" t="s">
        <v>52</v>
      </c>
      <c r="E282" s="3" t="s">
        <v>53</v>
      </c>
      <c r="F282" s="3">
        <v>3166</v>
      </c>
      <c r="G282" s="3">
        <v>90</v>
      </c>
      <c r="H282" s="3">
        <v>341</v>
      </c>
      <c r="I282" s="3">
        <v>56988</v>
      </c>
      <c r="J282" s="3">
        <v>56125</v>
      </c>
      <c r="K282" s="3">
        <v>135</v>
      </c>
      <c r="L282" s="4" t="s">
        <v>37</v>
      </c>
      <c r="M282" s="5" t="s">
        <v>25</v>
      </c>
    </row>
    <row r="283" spans="1:13" hidden="1" x14ac:dyDescent="0.3">
      <c r="A283" s="3" t="s">
        <v>538</v>
      </c>
      <c r="B283" s="3" t="s">
        <v>33</v>
      </c>
      <c r="C283" s="3" t="s">
        <v>539</v>
      </c>
      <c r="D283" s="3" t="s">
        <v>74</v>
      </c>
      <c r="E283" s="3" t="s">
        <v>85</v>
      </c>
      <c r="F283" s="3">
        <v>1488</v>
      </c>
      <c r="G283" s="3">
        <v>417</v>
      </c>
      <c r="H283" s="3">
        <v>168</v>
      </c>
      <c r="I283" s="3">
        <v>19344</v>
      </c>
      <c r="J283" s="3">
        <v>18395</v>
      </c>
      <c r="K283" s="3">
        <v>30</v>
      </c>
      <c r="L283" s="4" t="s">
        <v>62</v>
      </c>
      <c r="M283" s="5" t="s">
        <v>31</v>
      </c>
    </row>
    <row r="284" spans="1:13" hidden="1" x14ac:dyDescent="0.3">
      <c r="A284" s="3" t="s">
        <v>540</v>
      </c>
      <c r="B284" s="3" t="s">
        <v>14</v>
      </c>
      <c r="C284" s="3" t="s">
        <v>541</v>
      </c>
      <c r="D284" s="3" t="s">
        <v>16</v>
      </c>
      <c r="E284" s="3" t="s">
        <v>17</v>
      </c>
      <c r="F284" s="3">
        <v>3367</v>
      </c>
      <c r="G284" s="3">
        <v>302</v>
      </c>
      <c r="H284" s="3">
        <v>57</v>
      </c>
      <c r="I284" s="3">
        <v>63973</v>
      </c>
      <c r="J284" s="3">
        <v>63789</v>
      </c>
      <c r="K284" s="3">
        <v>157</v>
      </c>
      <c r="L284" s="4" t="s">
        <v>62</v>
      </c>
      <c r="M284" s="5" t="s">
        <v>25</v>
      </c>
    </row>
    <row r="285" spans="1:13" x14ac:dyDescent="0.3">
      <c r="A285" s="3" t="s">
        <v>542</v>
      </c>
      <c r="B285" s="3" t="s">
        <v>14</v>
      </c>
      <c r="C285" s="3" t="s">
        <v>103</v>
      </c>
      <c r="D285" s="3" t="s">
        <v>22</v>
      </c>
      <c r="E285" s="3" t="s">
        <v>23</v>
      </c>
      <c r="F285" s="3">
        <v>571</v>
      </c>
      <c r="G285" s="3">
        <v>190</v>
      </c>
      <c r="H285" s="3">
        <v>352</v>
      </c>
      <c r="I285" s="3">
        <v>9707</v>
      </c>
      <c r="J285" s="3">
        <v>9418</v>
      </c>
      <c r="K285" s="3">
        <v>231</v>
      </c>
      <c r="L285" s="4" t="s">
        <v>30</v>
      </c>
      <c r="M285" s="5" t="s">
        <v>38</v>
      </c>
    </row>
    <row r="286" spans="1:13" hidden="1" x14ac:dyDescent="0.3">
      <c r="A286" s="3" t="s">
        <v>543</v>
      </c>
      <c r="B286" s="3" t="s">
        <v>27</v>
      </c>
      <c r="C286" s="3" t="s">
        <v>430</v>
      </c>
      <c r="D286" s="3" t="s">
        <v>22</v>
      </c>
      <c r="E286" s="3" t="s">
        <v>104</v>
      </c>
      <c r="F286" s="3">
        <v>4021</v>
      </c>
      <c r="G286" s="3">
        <v>794</v>
      </c>
      <c r="H286" s="3">
        <v>77</v>
      </c>
      <c r="I286" s="3">
        <v>36189</v>
      </c>
      <c r="J286" s="3">
        <v>35505</v>
      </c>
      <c r="K286" s="3">
        <v>174</v>
      </c>
      <c r="L286" s="4" t="s">
        <v>37</v>
      </c>
      <c r="M286" s="5"/>
    </row>
    <row r="287" spans="1:13" hidden="1" x14ac:dyDescent="0.3">
      <c r="A287" s="3" t="s">
        <v>544</v>
      </c>
      <c r="B287" s="3" t="s">
        <v>27</v>
      </c>
      <c r="C287" s="3" t="s">
        <v>545</v>
      </c>
      <c r="D287" s="3" t="s">
        <v>74</v>
      </c>
      <c r="E287" s="3" t="s">
        <v>219</v>
      </c>
      <c r="F287" s="3">
        <v>3389</v>
      </c>
      <c r="G287" s="3">
        <v>344</v>
      </c>
      <c r="H287" s="3">
        <v>229</v>
      </c>
      <c r="I287" s="3">
        <v>20334</v>
      </c>
      <c r="J287" s="3">
        <v>19443</v>
      </c>
      <c r="K287" s="3">
        <v>228</v>
      </c>
      <c r="L287" s="4" t="s">
        <v>62</v>
      </c>
      <c r="M287" s="5" t="s">
        <v>31</v>
      </c>
    </row>
    <row r="288" spans="1:13" hidden="1" x14ac:dyDescent="0.3">
      <c r="A288" s="3" t="s">
        <v>546</v>
      </c>
      <c r="B288" s="3" t="s">
        <v>33</v>
      </c>
      <c r="C288" s="3" t="s">
        <v>404</v>
      </c>
      <c r="D288" s="3" t="s">
        <v>16</v>
      </c>
      <c r="E288" s="3" t="s">
        <v>82</v>
      </c>
      <c r="F288" s="3">
        <v>1164</v>
      </c>
      <c r="G288" s="3">
        <v>616</v>
      </c>
      <c r="H288" s="3">
        <v>324</v>
      </c>
      <c r="I288" s="3">
        <v>6984</v>
      </c>
      <c r="J288" s="3">
        <v>6636</v>
      </c>
      <c r="K288" s="3">
        <v>82</v>
      </c>
      <c r="L288" s="4" t="s">
        <v>37</v>
      </c>
      <c r="M288" s="5" t="s">
        <v>19</v>
      </c>
    </row>
    <row r="289" spans="1:13" hidden="1" x14ac:dyDescent="0.3">
      <c r="A289" s="3" t="s">
        <v>547</v>
      </c>
      <c r="B289" s="3" t="s">
        <v>27</v>
      </c>
      <c r="C289" s="3" t="s">
        <v>548</v>
      </c>
      <c r="D289" s="3" t="s">
        <v>45</v>
      </c>
      <c r="E289" s="3" t="s">
        <v>68</v>
      </c>
      <c r="F289" s="3">
        <v>4780</v>
      </c>
      <c r="G289" s="3">
        <v>691</v>
      </c>
      <c r="H289" s="3">
        <v>380</v>
      </c>
      <c r="I289" s="3">
        <v>86040</v>
      </c>
      <c r="J289" s="3">
        <v>85743</v>
      </c>
      <c r="K289" s="3">
        <v>262</v>
      </c>
      <c r="L289" s="4" t="s">
        <v>62</v>
      </c>
      <c r="M289" s="5" t="s">
        <v>31</v>
      </c>
    </row>
    <row r="290" spans="1:13" hidden="1" x14ac:dyDescent="0.3">
      <c r="A290" s="3" t="s">
        <v>549</v>
      </c>
      <c r="B290" s="3" t="s">
        <v>43</v>
      </c>
      <c r="C290" s="3" t="s">
        <v>307</v>
      </c>
      <c r="D290" s="3" t="s">
        <v>45</v>
      </c>
      <c r="E290" s="3" t="s">
        <v>46</v>
      </c>
      <c r="F290" s="3">
        <v>2751</v>
      </c>
      <c r="G290" s="3">
        <v>33</v>
      </c>
      <c r="H290" s="3">
        <v>430</v>
      </c>
      <c r="I290" s="3">
        <v>44016</v>
      </c>
      <c r="J290" s="3">
        <v>43415</v>
      </c>
      <c r="K290" s="3">
        <v>129</v>
      </c>
      <c r="L290" s="4" t="s">
        <v>62</v>
      </c>
      <c r="M290" s="5"/>
    </row>
    <row r="291" spans="1:13" x14ac:dyDescent="0.3">
      <c r="A291" s="3" t="s">
        <v>550</v>
      </c>
      <c r="B291" s="3" t="s">
        <v>33</v>
      </c>
      <c r="C291" s="3" t="s">
        <v>551</v>
      </c>
      <c r="D291" s="3" t="s">
        <v>45</v>
      </c>
      <c r="E291" s="3" t="s">
        <v>88</v>
      </c>
      <c r="F291" s="3">
        <v>2107</v>
      </c>
      <c r="G291" s="3">
        <v>550</v>
      </c>
      <c r="H291" s="3">
        <v>349</v>
      </c>
      <c r="I291" s="3">
        <v>35819</v>
      </c>
      <c r="J291" s="3">
        <v>35340</v>
      </c>
      <c r="K291" s="3">
        <v>191</v>
      </c>
      <c r="L291" s="4" t="s">
        <v>37</v>
      </c>
      <c r="M291" s="5" t="s">
        <v>38</v>
      </c>
    </row>
    <row r="292" spans="1:13" x14ac:dyDescent="0.3">
      <c r="A292" s="3" t="s">
        <v>552</v>
      </c>
      <c r="B292" s="3" t="s">
        <v>43</v>
      </c>
      <c r="C292" s="3" t="s">
        <v>94</v>
      </c>
      <c r="D292" s="3" t="s">
        <v>74</v>
      </c>
      <c r="E292" s="3" t="s">
        <v>75</v>
      </c>
      <c r="F292" s="3">
        <v>4663</v>
      </c>
      <c r="G292" s="3">
        <v>145</v>
      </c>
      <c r="H292" s="3">
        <v>225</v>
      </c>
      <c r="I292" s="3">
        <v>69945</v>
      </c>
      <c r="J292" s="3">
        <v>69596</v>
      </c>
      <c r="K292" s="3">
        <v>35</v>
      </c>
      <c r="L292" s="4" t="s">
        <v>37</v>
      </c>
      <c r="M292" s="5" t="s">
        <v>38</v>
      </c>
    </row>
    <row r="293" spans="1:13" hidden="1" x14ac:dyDescent="0.3">
      <c r="A293" s="3" t="s">
        <v>553</v>
      </c>
      <c r="B293" s="3" t="s">
        <v>43</v>
      </c>
      <c r="C293" s="3" t="s">
        <v>554</v>
      </c>
      <c r="D293" s="3" t="s">
        <v>22</v>
      </c>
      <c r="E293" s="3" t="s">
        <v>56</v>
      </c>
      <c r="F293" s="3">
        <v>880</v>
      </c>
      <c r="G293" s="3">
        <v>297</v>
      </c>
      <c r="H293" s="3">
        <v>345</v>
      </c>
      <c r="I293" s="3">
        <v>12320</v>
      </c>
      <c r="J293" s="3">
        <v>11978</v>
      </c>
      <c r="K293" s="3">
        <v>238</v>
      </c>
      <c r="L293" s="4" t="s">
        <v>95</v>
      </c>
      <c r="M293" s="5"/>
    </row>
    <row r="294" spans="1:13" hidden="1" x14ac:dyDescent="0.3">
      <c r="A294" s="3" t="s">
        <v>555</v>
      </c>
      <c r="B294" s="3" t="s">
        <v>43</v>
      </c>
      <c r="C294" s="3" t="s">
        <v>556</v>
      </c>
      <c r="D294" s="3" t="s">
        <v>22</v>
      </c>
      <c r="E294" s="3" t="s">
        <v>56</v>
      </c>
      <c r="F294" s="3">
        <v>2634</v>
      </c>
      <c r="G294" s="3">
        <v>726</v>
      </c>
      <c r="H294" s="3">
        <v>241</v>
      </c>
      <c r="I294" s="3">
        <v>28974</v>
      </c>
      <c r="J294" s="3">
        <v>28102</v>
      </c>
      <c r="K294" s="3">
        <v>277</v>
      </c>
      <c r="L294" s="4" t="s">
        <v>37</v>
      </c>
      <c r="M294" s="5" t="s">
        <v>19</v>
      </c>
    </row>
    <row r="295" spans="1:13" hidden="1" x14ac:dyDescent="0.3">
      <c r="A295" s="3" t="s">
        <v>557</v>
      </c>
      <c r="B295" s="3" t="s">
        <v>43</v>
      </c>
      <c r="C295" s="3" t="s">
        <v>558</v>
      </c>
      <c r="D295" s="3" t="s">
        <v>45</v>
      </c>
      <c r="E295" s="3" t="s">
        <v>46</v>
      </c>
      <c r="F295" s="3">
        <v>4731</v>
      </c>
      <c r="G295" s="3">
        <v>173</v>
      </c>
      <c r="H295" s="3">
        <v>276</v>
      </c>
      <c r="I295" s="3">
        <v>28386</v>
      </c>
      <c r="J295" s="3">
        <v>28185</v>
      </c>
      <c r="K295" s="3">
        <v>89</v>
      </c>
      <c r="L295" s="4" t="s">
        <v>37</v>
      </c>
      <c r="M295" s="5" t="s">
        <v>31</v>
      </c>
    </row>
    <row r="296" spans="1:13" hidden="1" x14ac:dyDescent="0.3">
      <c r="A296" s="3" t="s">
        <v>559</v>
      </c>
      <c r="B296" s="3" t="s">
        <v>14</v>
      </c>
      <c r="C296" s="3" t="s">
        <v>436</v>
      </c>
      <c r="D296" s="3" t="s">
        <v>52</v>
      </c>
      <c r="E296" s="3" t="s">
        <v>132</v>
      </c>
      <c r="F296" s="3">
        <v>1952</v>
      </c>
      <c r="G296" s="3">
        <v>344</v>
      </c>
      <c r="H296" s="3">
        <v>287</v>
      </c>
      <c r="I296" s="3">
        <v>15616</v>
      </c>
      <c r="J296" s="3">
        <v>15403</v>
      </c>
      <c r="K296" s="3">
        <v>235</v>
      </c>
      <c r="L296" s="4" t="s">
        <v>216</v>
      </c>
      <c r="M296" s="5" t="s">
        <v>25</v>
      </c>
    </row>
    <row r="297" spans="1:13" x14ac:dyDescent="0.3">
      <c r="A297" s="3" t="s">
        <v>560</v>
      </c>
      <c r="B297" s="3" t="s">
        <v>14</v>
      </c>
      <c r="C297" s="3" t="s">
        <v>561</v>
      </c>
      <c r="D297" s="3" t="s">
        <v>74</v>
      </c>
      <c r="E297" s="3" t="s">
        <v>145</v>
      </c>
      <c r="F297" s="3">
        <v>3440</v>
      </c>
      <c r="G297" s="3">
        <v>13</v>
      </c>
      <c r="H297" s="3">
        <v>20</v>
      </c>
      <c r="I297" s="3">
        <v>58480</v>
      </c>
      <c r="J297" s="3">
        <v>58146</v>
      </c>
      <c r="K297" s="3">
        <v>210</v>
      </c>
      <c r="L297" s="4" t="s">
        <v>421</v>
      </c>
      <c r="M297" s="5" t="s">
        <v>38</v>
      </c>
    </row>
    <row r="298" spans="1:13" x14ac:dyDescent="0.3">
      <c r="A298" s="3" t="s">
        <v>562</v>
      </c>
      <c r="B298" s="3" t="s">
        <v>14</v>
      </c>
      <c r="C298" s="3" t="s">
        <v>563</v>
      </c>
      <c r="D298" s="3" t="s">
        <v>22</v>
      </c>
      <c r="E298" s="3" t="s">
        <v>23</v>
      </c>
      <c r="F298" s="3">
        <v>2166</v>
      </c>
      <c r="G298" s="3">
        <v>354</v>
      </c>
      <c r="H298" s="3">
        <v>117</v>
      </c>
      <c r="I298" s="3">
        <v>10830</v>
      </c>
      <c r="J298" s="3">
        <v>10245</v>
      </c>
      <c r="K298" s="3">
        <v>24</v>
      </c>
      <c r="L298" s="4" t="s">
        <v>37</v>
      </c>
      <c r="M298" s="5" t="s">
        <v>38</v>
      </c>
    </row>
    <row r="299" spans="1:13" hidden="1" x14ac:dyDescent="0.3">
      <c r="A299" s="3" t="s">
        <v>564</v>
      </c>
      <c r="B299" s="3" t="s">
        <v>43</v>
      </c>
      <c r="C299" s="3" t="s">
        <v>73</v>
      </c>
      <c r="D299" s="3" t="s">
        <v>52</v>
      </c>
      <c r="E299" s="3" t="s">
        <v>59</v>
      </c>
      <c r="F299" s="3">
        <v>4303</v>
      </c>
      <c r="G299" s="3">
        <v>451</v>
      </c>
      <c r="H299" s="3">
        <v>286</v>
      </c>
      <c r="I299" s="3">
        <v>86060</v>
      </c>
      <c r="J299" s="3">
        <v>85823</v>
      </c>
      <c r="K299" s="3">
        <v>14</v>
      </c>
      <c r="L299" s="4" t="s">
        <v>30</v>
      </c>
      <c r="M299" s="5" t="s">
        <v>31</v>
      </c>
    </row>
    <row r="300" spans="1:13" hidden="1" x14ac:dyDescent="0.3">
      <c r="A300" s="3" t="s">
        <v>565</v>
      </c>
      <c r="B300" s="3" t="s">
        <v>43</v>
      </c>
      <c r="C300" s="3" t="s">
        <v>77</v>
      </c>
      <c r="D300" s="3" t="s">
        <v>52</v>
      </c>
      <c r="E300" s="3" t="s">
        <v>59</v>
      </c>
      <c r="F300" s="3">
        <v>2581</v>
      </c>
      <c r="G300" s="3">
        <v>517</v>
      </c>
      <c r="H300" s="3">
        <v>117</v>
      </c>
      <c r="I300" s="3">
        <v>23229</v>
      </c>
      <c r="J300" s="3">
        <v>22331</v>
      </c>
      <c r="K300" s="3">
        <v>70</v>
      </c>
      <c r="L300" s="4" t="s">
        <v>62</v>
      </c>
      <c r="M300" s="5" t="s">
        <v>31</v>
      </c>
    </row>
    <row r="301" spans="1:13" hidden="1" x14ac:dyDescent="0.3">
      <c r="A301" s="3" t="s">
        <v>566</v>
      </c>
      <c r="B301" s="3" t="s">
        <v>14</v>
      </c>
      <c r="C301" s="3" t="s">
        <v>318</v>
      </c>
      <c r="D301" s="3" t="s">
        <v>45</v>
      </c>
      <c r="E301" s="3" t="s">
        <v>49</v>
      </c>
      <c r="F301" s="3">
        <v>4494</v>
      </c>
      <c r="G301" s="3">
        <v>717</v>
      </c>
      <c r="H301" s="3">
        <v>45</v>
      </c>
      <c r="I301" s="3">
        <v>62916</v>
      </c>
      <c r="J301" s="3">
        <v>62688</v>
      </c>
      <c r="K301" s="3">
        <v>191</v>
      </c>
      <c r="L301" s="4" t="s">
        <v>505</v>
      </c>
      <c r="M301" s="5" t="s">
        <v>19</v>
      </c>
    </row>
  </sheetData>
  <autoFilter ref="M1:M301" xr:uid="{AB2018A9-96DF-48DB-B5EE-0B54D16B6F75}">
    <filterColumn colId="0">
      <filters>
        <filter val="DailyWellnes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FE8F-7AB7-4A08-950B-59212748FF0E}">
  <dimension ref="A1:G5"/>
  <sheetViews>
    <sheetView workbookViewId="0">
      <selection activeCell="C1" sqref="C1:C5"/>
    </sheetView>
  </sheetViews>
  <sheetFormatPr defaultRowHeight="14.4" x14ac:dyDescent="0.3"/>
  <cols>
    <col min="1" max="1" width="15.5546875" bestFit="1" customWidth="1"/>
    <col min="6" max="6" width="17.6640625" bestFit="1" customWidth="1"/>
  </cols>
  <sheetData>
    <row r="1" spans="1:7" ht="28.8" x14ac:dyDescent="0.3">
      <c r="A1" s="1" t="s">
        <v>12</v>
      </c>
      <c r="B1" s="2" t="s">
        <v>574</v>
      </c>
      <c r="C1" s="1" t="s">
        <v>575</v>
      </c>
      <c r="D1" s="1" t="s">
        <v>576</v>
      </c>
      <c r="E1" s="2" t="s">
        <v>577</v>
      </c>
      <c r="F1" s="1" t="s">
        <v>578</v>
      </c>
      <c r="G1" s="2" t="s">
        <v>579</v>
      </c>
    </row>
    <row r="2" spans="1:7" ht="57.6" x14ac:dyDescent="0.3">
      <c r="A2" s="23" t="s">
        <v>19</v>
      </c>
      <c r="B2" s="24" t="s">
        <v>580</v>
      </c>
      <c r="C2" s="23" t="s">
        <v>315</v>
      </c>
      <c r="D2" s="23" t="s">
        <v>581</v>
      </c>
      <c r="E2" s="24">
        <v>150000</v>
      </c>
      <c r="F2" s="23" t="s">
        <v>582</v>
      </c>
      <c r="G2" s="24" t="s">
        <v>41</v>
      </c>
    </row>
    <row r="3" spans="1:7" ht="43.2" x14ac:dyDescent="0.3">
      <c r="A3" s="23" t="s">
        <v>25</v>
      </c>
      <c r="B3" s="24" t="s">
        <v>583</v>
      </c>
      <c r="C3" s="23" t="s">
        <v>44</v>
      </c>
      <c r="D3" s="23" t="s">
        <v>584</v>
      </c>
      <c r="E3" s="24">
        <v>200000</v>
      </c>
      <c r="F3" s="23" t="s">
        <v>585</v>
      </c>
      <c r="G3" s="24" t="s">
        <v>586</v>
      </c>
    </row>
    <row r="4" spans="1:7" ht="43.2" x14ac:dyDescent="0.3">
      <c r="A4" s="23" t="s">
        <v>31</v>
      </c>
      <c r="B4" s="24" t="s">
        <v>587</v>
      </c>
      <c r="C4" s="23" t="s">
        <v>230</v>
      </c>
      <c r="D4" s="23" t="s">
        <v>588</v>
      </c>
      <c r="E4" s="24">
        <v>250000</v>
      </c>
      <c r="F4" s="23" t="s">
        <v>589</v>
      </c>
      <c r="G4" s="24" t="s">
        <v>590</v>
      </c>
    </row>
    <row r="5" spans="1:7" ht="57.6" x14ac:dyDescent="0.3">
      <c r="A5" s="23" t="s">
        <v>38</v>
      </c>
      <c r="B5" s="24" t="s">
        <v>591</v>
      </c>
      <c r="C5" s="23" t="s">
        <v>592</v>
      </c>
      <c r="D5" s="23" t="s">
        <v>593</v>
      </c>
      <c r="E5" s="24">
        <v>180000</v>
      </c>
      <c r="F5" s="23" t="s">
        <v>594</v>
      </c>
      <c r="G5" s="24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1952-07EE-489C-9BAA-C38FB9B6C18E}">
  <dimension ref="A1:K201"/>
  <sheetViews>
    <sheetView workbookViewId="0">
      <selection activeCell="I77" sqref="I77"/>
    </sheetView>
  </sheetViews>
  <sheetFormatPr defaultRowHeight="14.4" x14ac:dyDescent="0.3"/>
  <cols>
    <col min="1" max="1" width="15.77734375" style="28" bestFit="1" customWidth="1"/>
    <col min="2" max="2" width="9.109375" bestFit="1" customWidth="1"/>
    <col min="3" max="3" width="11.21875" customWidth="1"/>
    <col min="4" max="4" width="9.44140625" bestFit="1" customWidth="1"/>
    <col min="5" max="5" width="21.88671875" customWidth="1"/>
    <col min="6" max="7" width="8.5546875" bestFit="1" customWidth="1"/>
    <col min="8" max="8" width="16.5546875" bestFit="1" customWidth="1"/>
    <col min="9" max="9" width="14.21875" bestFit="1" customWidth="1"/>
    <col min="10" max="10" width="18.5546875" bestFit="1" customWidth="1"/>
    <col min="11" max="11" width="16" bestFit="1" customWidth="1"/>
  </cols>
  <sheetData>
    <row r="1" spans="1:11" ht="43.2" x14ac:dyDescent="0.3">
      <c r="A1" s="26" t="s">
        <v>598</v>
      </c>
      <c r="B1" s="1" t="s">
        <v>1</v>
      </c>
      <c r="C1" s="2" t="s">
        <v>599</v>
      </c>
      <c r="D1" s="1" t="s">
        <v>600</v>
      </c>
      <c r="E1" s="2" t="s">
        <v>601</v>
      </c>
      <c r="F1" s="2" t="s">
        <v>602</v>
      </c>
      <c r="G1" s="2" t="s">
        <v>603</v>
      </c>
      <c r="H1" s="23" t="s">
        <v>621</v>
      </c>
      <c r="I1" s="23" t="s">
        <v>25</v>
      </c>
      <c r="J1" s="23" t="s">
        <v>623</v>
      </c>
      <c r="K1" s="23" t="s">
        <v>622</v>
      </c>
    </row>
    <row r="2" spans="1:11" x14ac:dyDescent="0.3">
      <c r="A2" s="27" t="s">
        <v>232</v>
      </c>
      <c r="B2" s="5" t="s">
        <v>33</v>
      </c>
      <c r="C2" s="5">
        <v>1135</v>
      </c>
      <c r="D2" s="5">
        <v>88</v>
      </c>
      <c r="E2" s="5">
        <v>344084</v>
      </c>
      <c r="F2" s="5">
        <v>8.06</v>
      </c>
      <c r="G2" s="5">
        <v>5904</v>
      </c>
      <c r="H2" t="str">
        <f>IF(AND(A2 &gt;= 'Task - Upliftment'!$E$2, A2 &lt;= 'Task - Upliftment'!$F$2, OR(B2="Instagram", B2="Facebook")),
    "Present",
    IF(A2 &lt; 'Task - Upliftment'!$E$2,
       IF(OR(B2="Instagram", B2="Facebook"), "Before", "NP"),
       "NP"))</f>
        <v>Before</v>
      </c>
      <c r="I2" t="str">
        <f>IF(AND(A2 &gt;= 'Task - Upliftment'!$E$3, A2 &lt;= 'Task - Upliftment'!$F$3, OR(B2="Instagram", B2="YouTube")),
    "Present",
    IF(A2 &lt; 'Task - Upliftment'!$E$3,
       IF(OR(B2="Instagram", B2="YouTube"), "Before", "NP"),
       "NP"))</f>
        <v>Before</v>
      </c>
      <c r="J2" t="str">
        <f>IF(AND(A2 &gt;= 'Task - Upliftment'!$E$4, A2 &lt;= 'Task - Upliftment'!$F$4, OR(B2="Facebook", B2="Twitter")),
    "Present",
    IF(A2 &lt; 'Task - Upliftment'!$E$4,
       IF(OR(B2="Facebook", B2="Twitter"), "Before", "NP"),
       "NP"))</f>
        <v>NP</v>
      </c>
      <c r="K2" t="str">
        <f>IF(AND(A2 &gt;= 'Task - Upliftment'!$E$5, A2 &lt;= 'Task - Upliftment'!$F$5, OR(B2="Instagram", B2="Twitter")),
    "Present",
    IF(A2 &lt; 'Task - Upliftment'!$E$5,
       IF(OR(B2="Instagram", B2="Twitter"), "Before", "NP"),
       "NP"))</f>
        <v>Before</v>
      </c>
    </row>
    <row r="3" spans="1:11" x14ac:dyDescent="0.3">
      <c r="A3" s="27" t="s">
        <v>232</v>
      </c>
      <c r="B3" s="5" t="s">
        <v>43</v>
      </c>
      <c r="C3" s="5">
        <v>1312</v>
      </c>
      <c r="D3" s="5">
        <v>310</v>
      </c>
      <c r="E3" s="5">
        <v>42654</v>
      </c>
      <c r="F3" s="5">
        <v>4.9800000000000004</v>
      </c>
      <c r="G3" s="5">
        <v>9566</v>
      </c>
      <c r="H3" t="str">
        <f>IF(AND(A3 &gt;= 'Task - Upliftment'!$E$2, A3 &lt;= 'Task - Upliftment'!$F$2, OR(B3="Instagram", B3="Facebook")),
    "Present",
    IF(A3 &lt; 'Task - Upliftment'!$E$2,
       IF(OR(B3="Instagram", B3="Facebook"), "Before", "NP"),
       "NP"))</f>
        <v>Before</v>
      </c>
      <c r="I3" t="str">
        <f>IF(AND(A3 &gt;= 'Task - Upliftment'!$E$3, A3 &lt;= 'Task - Upliftment'!$F$3, OR(B3="Instagram", B3="YouTube")),
    "Present",
    IF(A3 &lt; 'Task - Upliftment'!$E$3,
       IF(OR(B3="Instagram", B3="YouTube"), "Before", "NP"),
       "NP"))</f>
        <v>NP</v>
      </c>
      <c r="J3" t="str">
        <f>IF(AND(A3 &gt;= 'Task - Upliftment'!$E$4, A3 &lt;= 'Task - Upliftment'!$F$4, OR(B3="Facebook", B3="Twitter")),
    "Present",
    IF(A3 &lt; 'Task - Upliftment'!$E$4,
       IF(OR(B3="Facebook", B3="Twitter"), "Before", "NP"),
       "NP"))</f>
        <v>Before</v>
      </c>
      <c r="K3" t="str">
        <f>IF(AND(A3 &gt;= 'Task - Upliftment'!$E$5, A3 &lt;= 'Task - Upliftment'!$F$5, OR(B3="Instagram", B3="Twitter")),
    "Present",
    IF(A3 &lt; 'Task - Upliftment'!$E$5,
       IF(OR(B3="Instagram", B3="Twitter"), "Before", "NP"),
       "NP"))</f>
        <v>NP</v>
      </c>
    </row>
    <row r="4" spans="1:11" x14ac:dyDescent="0.3">
      <c r="A4" s="27" t="s">
        <v>232</v>
      </c>
      <c r="B4" s="5" t="s">
        <v>14</v>
      </c>
      <c r="C4" s="5">
        <v>584</v>
      </c>
      <c r="D4" s="5">
        <v>169</v>
      </c>
      <c r="E4" s="5">
        <v>146834</v>
      </c>
      <c r="F4" s="5">
        <v>8.31</v>
      </c>
      <c r="G4" s="5">
        <v>26752</v>
      </c>
      <c r="H4" t="str">
        <f>IF(AND(A4 &gt;= 'Task - Upliftment'!$E$2, A4 &lt;= 'Task - Upliftment'!$F$2, OR(B4="Instagram", B4="Facebook")),
    "Present",
    IF(A4 &lt; 'Task - Upliftment'!$E$2,
       IF(OR(B4="Instagram", B4="Facebook"), "Before", "NP"),
       "NP"))</f>
        <v>NP</v>
      </c>
      <c r="I4" t="str">
        <f>IF(AND(A4 &gt;= 'Task - Upliftment'!$E$3, A4 &lt;= 'Task - Upliftment'!$F$3, OR(B4="Instagram", B4="YouTube")),
    "Present",
    IF(A4 &lt; 'Task - Upliftment'!$E$3,
       IF(OR(B4="Instagram", B4="YouTube"), "Before", "NP"),
       "NP"))</f>
        <v>NP</v>
      </c>
      <c r="J4" t="str">
        <f>IF(AND(A4 &gt;= 'Task - Upliftment'!$E$4, A4 &lt;= 'Task - Upliftment'!$F$4, OR(B4="Facebook", B4="Twitter")),
    "Present",
    IF(A4 &lt; 'Task - Upliftment'!$E$4,
       IF(OR(B4="Facebook", B4="Twitter"), "Before", "NP"),
       "NP"))</f>
        <v>Before</v>
      </c>
      <c r="K4" t="str">
        <f>IF(AND(A4 &gt;= 'Task - Upliftment'!$E$5, A4 &lt;= 'Task - Upliftment'!$F$5, OR(B4="Instagram", B4="Twitter")),
    "Present",
    IF(A4 &lt; 'Task - Upliftment'!$E$5,
       IF(OR(B4="Instagram", B4="Twitter"), "Before", "NP"),
       "NP"))</f>
        <v>Before</v>
      </c>
    </row>
    <row r="5" spans="1:11" x14ac:dyDescent="0.3">
      <c r="A5" s="27" t="s">
        <v>232</v>
      </c>
      <c r="B5" s="5" t="s">
        <v>27</v>
      </c>
      <c r="C5" s="5">
        <v>1535</v>
      </c>
      <c r="D5" s="5">
        <v>445</v>
      </c>
      <c r="E5" s="5">
        <v>395536</v>
      </c>
      <c r="F5" s="5">
        <v>4.1100000000000003</v>
      </c>
      <c r="G5" s="5">
        <v>30671</v>
      </c>
      <c r="H5" t="str">
        <f>IF(AND(A5 &gt;= 'Task - Upliftment'!$E$2, A5 &lt;= 'Task - Upliftment'!$F$2, OR(B5="Instagram", B5="Facebook")),
    "Present",
    IF(A5 &lt; 'Task - Upliftment'!$E$2,
       IF(OR(B5="Instagram", B5="Facebook"), "Before", "NP"),
       "NP"))</f>
        <v>NP</v>
      </c>
      <c r="I5" t="str">
        <f>IF(AND(A5 &gt;= 'Task - Upliftment'!$E$3, A5 &lt;= 'Task - Upliftment'!$F$3, OR(B5="Instagram", B5="YouTube")),
    "Present",
    IF(A5 &lt; 'Task - Upliftment'!$E$3,
       IF(OR(B5="Instagram", B5="YouTube"), "Before", "NP"),
       "NP"))</f>
        <v>Before</v>
      </c>
      <c r="J5" t="str">
        <f>IF(AND(A5 &gt;= 'Task - Upliftment'!$E$4, A5 &lt;= 'Task - Upliftment'!$F$4, OR(B5="Facebook", B5="Twitter")),
    "Present",
    IF(A5 &lt; 'Task - Upliftment'!$E$4,
       IF(OR(B5="Facebook", B5="Twitter"), "Before", "NP"),
       "NP"))</f>
        <v>NP</v>
      </c>
      <c r="K5" t="str">
        <f>IF(AND(A5 &gt;= 'Task - Upliftment'!$E$5, A5 &lt;= 'Task - Upliftment'!$F$5, OR(B5="Instagram", B5="Twitter")),
    "Present",
    IF(A5 &lt; 'Task - Upliftment'!$E$5,
       IF(OR(B5="Instagram", B5="Twitter"), "Before", "NP"),
       "NP"))</f>
        <v>NP</v>
      </c>
    </row>
    <row r="6" spans="1:11" x14ac:dyDescent="0.3">
      <c r="A6" s="27" t="s">
        <v>151</v>
      </c>
      <c r="B6" s="5" t="s">
        <v>33</v>
      </c>
      <c r="C6" s="5">
        <v>656</v>
      </c>
      <c r="D6" s="5">
        <v>139</v>
      </c>
      <c r="E6" s="5">
        <v>49157</v>
      </c>
      <c r="F6" s="5">
        <v>9.0500000000000007</v>
      </c>
      <c r="G6" s="5">
        <v>9920</v>
      </c>
      <c r="H6" t="str">
        <f>IF(AND(A6 &gt;= 'Task - Upliftment'!$E$2, A6 &lt;= 'Task - Upliftment'!$F$2, OR(B6="Instagram", B6="Facebook")),
    "Present",
    IF(A6 &lt; 'Task - Upliftment'!$E$2,
       IF(OR(B6="Instagram", B6="Facebook"), "Before", "NP"),
       "NP"))</f>
        <v>Before</v>
      </c>
      <c r="I6" t="str">
        <f>IF(AND(A6 &gt;= 'Task - Upliftment'!$E$3, A6 &lt;= 'Task - Upliftment'!$F$3, OR(B6="Instagram", B6="YouTube")),
    "Present",
    IF(A6 &lt; 'Task - Upliftment'!$E$3,
       IF(OR(B6="Instagram", B6="YouTube"), "Before", "NP"),
       "NP"))</f>
        <v>Before</v>
      </c>
      <c r="J6" t="str">
        <f>IF(AND(A6 &gt;= 'Task - Upliftment'!$E$4, A6 &lt;= 'Task - Upliftment'!$F$4, OR(B6="Facebook", B6="Twitter")),
    "Present",
    IF(A6 &lt; 'Task - Upliftment'!$E$4,
       IF(OR(B6="Facebook", B6="Twitter"), "Before", "NP"),
       "NP"))</f>
        <v>NP</v>
      </c>
      <c r="K6" t="str">
        <f>IF(AND(A6 &gt;= 'Task - Upliftment'!$E$5, A6 &lt;= 'Task - Upliftment'!$F$5, OR(B6="Instagram", B6="Twitter")),
    "Present",
    IF(A6 &lt; 'Task - Upliftment'!$E$5,
       IF(OR(B6="Instagram", B6="Twitter"), "Before", "NP"),
       "NP"))</f>
        <v>Before</v>
      </c>
    </row>
    <row r="7" spans="1:11" x14ac:dyDescent="0.3">
      <c r="A7" s="27" t="s">
        <v>151</v>
      </c>
      <c r="B7" s="5" t="s">
        <v>43</v>
      </c>
      <c r="C7" s="5">
        <v>1697</v>
      </c>
      <c r="D7" s="5">
        <v>414</v>
      </c>
      <c r="E7" s="5">
        <v>316555</v>
      </c>
      <c r="F7" s="5">
        <v>2.37</v>
      </c>
      <c r="G7" s="5">
        <v>7924</v>
      </c>
      <c r="H7" t="str">
        <f>IF(AND(A7 &gt;= 'Task - Upliftment'!$E$2, A7 &lt;= 'Task - Upliftment'!$F$2, OR(B7="Instagram", B7="Facebook")),
    "Present",
    IF(A7 &lt; 'Task - Upliftment'!$E$2,
       IF(OR(B7="Instagram", B7="Facebook"), "Before", "NP"),
       "NP"))</f>
        <v>Before</v>
      </c>
      <c r="I7" t="str">
        <f>IF(AND(A7 &gt;= 'Task - Upliftment'!$E$3, A7 &lt;= 'Task - Upliftment'!$F$3, OR(B7="Instagram", B7="YouTube")),
    "Present",
    IF(A7 &lt; 'Task - Upliftment'!$E$3,
       IF(OR(B7="Instagram", B7="YouTube"), "Before", "NP"),
       "NP"))</f>
        <v>NP</v>
      </c>
      <c r="J7" t="str">
        <f>IF(AND(A7 &gt;= 'Task - Upliftment'!$E$4, A7 &lt;= 'Task - Upliftment'!$F$4, OR(B7="Facebook", B7="Twitter")),
    "Present",
    IF(A7 &lt; 'Task - Upliftment'!$E$4,
       IF(OR(B7="Facebook", B7="Twitter"), "Before", "NP"),
       "NP"))</f>
        <v>Before</v>
      </c>
      <c r="K7" t="str">
        <f>IF(AND(A7 &gt;= 'Task - Upliftment'!$E$5, A7 &lt;= 'Task - Upliftment'!$F$5, OR(B7="Instagram", B7="Twitter")),
    "Present",
    IF(A7 &lt; 'Task - Upliftment'!$E$5,
       IF(OR(B7="Instagram", B7="Twitter"), "Before", "NP"),
       "NP"))</f>
        <v>NP</v>
      </c>
    </row>
    <row r="8" spans="1:11" x14ac:dyDescent="0.3">
      <c r="A8" s="27" t="s">
        <v>151</v>
      </c>
      <c r="B8" s="5" t="s">
        <v>14</v>
      </c>
      <c r="C8" s="5">
        <v>436</v>
      </c>
      <c r="D8" s="5">
        <v>250</v>
      </c>
      <c r="E8" s="5">
        <v>254347</v>
      </c>
      <c r="F8" s="5">
        <v>4.01</v>
      </c>
      <c r="G8" s="5">
        <v>8912</v>
      </c>
      <c r="H8" t="str">
        <f>IF(AND(A8 &gt;= 'Task - Upliftment'!$E$2, A8 &lt;= 'Task - Upliftment'!$F$2, OR(B8="Instagram", B8="Facebook")),
    "Present",
    IF(A8 &lt; 'Task - Upliftment'!$E$2,
       IF(OR(B8="Instagram", B8="Facebook"), "Before", "NP"),
       "NP"))</f>
        <v>NP</v>
      </c>
      <c r="I8" t="str">
        <f>IF(AND(A8 &gt;= 'Task - Upliftment'!$E$3, A8 &lt;= 'Task - Upliftment'!$F$3, OR(B8="Instagram", B8="YouTube")),
    "Present",
    IF(A8 &lt; 'Task - Upliftment'!$E$3,
       IF(OR(B8="Instagram", B8="YouTube"), "Before", "NP"),
       "NP"))</f>
        <v>NP</v>
      </c>
      <c r="J8" t="str">
        <f>IF(AND(A8 &gt;= 'Task - Upliftment'!$E$4, A8 &lt;= 'Task - Upliftment'!$F$4, OR(B8="Facebook", B8="Twitter")),
    "Present",
    IF(A8 &lt; 'Task - Upliftment'!$E$4,
       IF(OR(B8="Facebook", B8="Twitter"), "Before", "NP"),
       "NP"))</f>
        <v>Before</v>
      </c>
      <c r="K8" t="str">
        <f>IF(AND(A8 &gt;= 'Task - Upliftment'!$E$5, A8 &lt;= 'Task - Upliftment'!$F$5, OR(B8="Instagram", B8="Twitter")),
    "Present",
    IF(A8 &lt; 'Task - Upliftment'!$E$5,
       IF(OR(B8="Instagram", B8="Twitter"), "Before", "NP"),
       "NP"))</f>
        <v>Before</v>
      </c>
    </row>
    <row r="9" spans="1:11" x14ac:dyDescent="0.3">
      <c r="A9" s="27" t="s">
        <v>151</v>
      </c>
      <c r="B9" s="5" t="s">
        <v>27</v>
      </c>
      <c r="C9" s="5">
        <v>1197</v>
      </c>
      <c r="D9" s="5">
        <v>203</v>
      </c>
      <c r="E9" s="5">
        <v>413878</v>
      </c>
      <c r="F9" s="5">
        <v>3.16</v>
      </c>
      <c r="G9" s="5">
        <v>21205</v>
      </c>
      <c r="H9" t="str">
        <f>IF(AND(A9 &gt;= 'Task - Upliftment'!$E$2, A9 &lt;= 'Task - Upliftment'!$F$2, OR(B9="Instagram", B9="Facebook")),
    "Present",
    IF(A9 &lt; 'Task - Upliftment'!$E$2,
       IF(OR(B9="Instagram", B9="Facebook"), "Before", "NP"),
       "NP"))</f>
        <v>NP</v>
      </c>
      <c r="I9" t="str">
        <f>IF(AND(A9 &gt;= 'Task - Upliftment'!$E$3, A9 &lt;= 'Task - Upliftment'!$F$3, OR(B9="Instagram", B9="YouTube")),
    "Present",
    IF(A9 &lt; 'Task - Upliftment'!$E$3,
       IF(OR(B9="Instagram", B9="YouTube"), "Before", "NP"),
       "NP"))</f>
        <v>Before</v>
      </c>
      <c r="J9" t="str">
        <f>IF(AND(A9 &gt;= 'Task - Upliftment'!$E$4, A9 &lt;= 'Task - Upliftment'!$F$4, OR(B9="Facebook", B9="Twitter")),
    "Present",
    IF(A9 &lt; 'Task - Upliftment'!$E$4,
       IF(OR(B9="Facebook", B9="Twitter"), "Before", "NP"),
       "NP"))</f>
        <v>NP</v>
      </c>
      <c r="K9" t="str">
        <f>IF(AND(A9 &gt;= 'Task - Upliftment'!$E$5, A9 &lt;= 'Task - Upliftment'!$F$5, OR(B9="Instagram", B9="Twitter")),
    "Present",
    IF(A9 &lt; 'Task - Upliftment'!$E$5,
       IF(OR(B9="Instagram", B9="Twitter"), "Before", "NP"),
       "NP"))</f>
        <v>NP</v>
      </c>
    </row>
    <row r="10" spans="1:11" x14ac:dyDescent="0.3">
      <c r="A10" s="27" t="s">
        <v>164</v>
      </c>
      <c r="B10" s="5" t="s">
        <v>33</v>
      </c>
      <c r="C10" s="5">
        <v>1048</v>
      </c>
      <c r="D10" s="5">
        <v>155</v>
      </c>
      <c r="E10" s="5">
        <v>456946</v>
      </c>
      <c r="F10" s="5">
        <v>2.46</v>
      </c>
      <c r="G10" s="5">
        <v>11329</v>
      </c>
      <c r="H10" t="str">
        <f>IF(AND(A10 &gt;= 'Task - Upliftment'!$E$2, A10 &lt;= 'Task - Upliftment'!$F$2, OR(B10="Instagram", B10="Facebook")),
    "Present",
    IF(A10 &lt; 'Task - Upliftment'!$E$2,
       IF(OR(B10="Instagram", B10="Facebook"), "Before", "NP"),
       "NP"))</f>
        <v>Present</v>
      </c>
      <c r="I10" t="str">
        <f>IF(AND(A10 &gt;= 'Task - Upliftment'!$E$3, A10 &lt;= 'Task - Upliftment'!$F$3, OR(B10="Instagram", B10="YouTube")),
    "Present",
    IF(A10 &lt; 'Task - Upliftment'!$E$3,
       IF(OR(B10="Instagram", B10="YouTube"), "Before", "NP"),
       "NP"))</f>
        <v>Before</v>
      </c>
      <c r="J10" t="str">
        <f>IF(AND(A10 &gt;= 'Task - Upliftment'!$E$4, A10 &lt;= 'Task - Upliftment'!$F$4, OR(B10="Facebook", B10="Twitter")),
    "Present",
    IF(A10 &lt; 'Task - Upliftment'!$E$4,
       IF(OR(B10="Facebook", B10="Twitter"), "Before", "NP"),
       "NP"))</f>
        <v>NP</v>
      </c>
      <c r="K10" t="str">
        <f>IF(AND(A10 &gt;= 'Task - Upliftment'!$E$5, A10 &lt;= 'Task - Upliftment'!$F$5, OR(B10="Instagram", B10="Twitter")),
    "Present",
    IF(A10 &lt; 'Task - Upliftment'!$E$5,
       IF(OR(B10="Instagram", B10="Twitter"), "Before", "NP"),
       "NP"))</f>
        <v>Before</v>
      </c>
    </row>
    <row r="11" spans="1:11" x14ac:dyDescent="0.3">
      <c r="A11" s="27" t="s">
        <v>164</v>
      </c>
      <c r="B11" s="5" t="s">
        <v>43</v>
      </c>
      <c r="C11" s="5">
        <v>1753</v>
      </c>
      <c r="D11" s="5">
        <v>371</v>
      </c>
      <c r="E11" s="5">
        <v>169496</v>
      </c>
      <c r="F11" s="5">
        <v>8.11</v>
      </c>
      <c r="G11" s="5">
        <v>46670</v>
      </c>
      <c r="H11" t="str">
        <f>IF(AND(A11 &gt;= 'Task - Upliftment'!$E$2, A11 &lt;= 'Task - Upliftment'!$F$2, OR(B11="Instagram", B11="Facebook")),
    "Present",
    IF(A11 &lt; 'Task - Upliftment'!$E$2,
       IF(OR(B11="Instagram", B11="Facebook"), "Before", "NP"),
       "NP"))</f>
        <v>Present</v>
      </c>
      <c r="I11" t="str">
        <f>IF(AND(A11 &gt;= 'Task - Upliftment'!$E$3, A11 &lt;= 'Task - Upliftment'!$F$3, OR(B11="Instagram", B11="YouTube")),
    "Present",
    IF(A11 &lt; 'Task - Upliftment'!$E$3,
       IF(OR(B11="Instagram", B11="YouTube"), "Before", "NP"),
       "NP"))</f>
        <v>NP</v>
      </c>
      <c r="J11" t="str">
        <f>IF(AND(A11 &gt;= 'Task - Upliftment'!$E$4, A11 &lt;= 'Task - Upliftment'!$F$4, OR(B11="Facebook", B11="Twitter")),
    "Present",
    IF(A11 &lt; 'Task - Upliftment'!$E$4,
       IF(OR(B11="Facebook", B11="Twitter"), "Before", "NP"),
       "NP"))</f>
        <v>Before</v>
      </c>
      <c r="K11" t="str">
        <f>IF(AND(A11 &gt;= 'Task - Upliftment'!$E$5, A11 &lt;= 'Task - Upliftment'!$F$5, OR(B11="Instagram", B11="Twitter")),
    "Present",
    IF(A11 &lt; 'Task - Upliftment'!$E$5,
       IF(OR(B11="Instagram", B11="Twitter"), "Before", "NP"),
       "NP"))</f>
        <v>NP</v>
      </c>
    </row>
    <row r="12" spans="1:11" x14ac:dyDescent="0.3">
      <c r="A12" s="27" t="s">
        <v>164</v>
      </c>
      <c r="B12" s="5" t="s">
        <v>14</v>
      </c>
      <c r="C12" s="5">
        <v>1335</v>
      </c>
      <c r="D12" s="5">
        <v>40</v>
      </c>
      <c r="E12" s="5">
        <v>122732</v>
      </c>
      <c r="F12" s="5">
        <v>8.19</v>
      </c>
      <c r="G12" s="5">
        <v>22482</v>
      </c>
      <c r="H12" t="str">
        <f>IF(AND(A12 &gt;= 'Task - Upliftment'!$E$2, A12 &lt;= 'Task - Upliftment'!$F$2, OR(B12="Instagram", B12="Facebook")),
    "Present",
    IF(A12 &lt; 'Task - Upliftment'!$E$2,
       IF(OR(B12="Instagram", B12="Facebook"), "Before", "NP"),
       "NP"))</f>
        <v>NP</v>
      </c>
      <c r="I12" t="str">
        <f>IF(AND(A12 &gt;= 'Task - Upliftment'!$E$3, A12 &lt;= 'Task - Upliftment'!$F$3, OR(B12="Instagram", B12="YouTube")),
    "Present",
    IF(A12 &lt; 'Task - Upliftment'!$E$3,
       IF(OR(B12="Instagram", B12="YouTube"), "Before", "NP"),
       "NP"))</f>
        <v>NP</v>
      </c>
      <c r="J12" t="str">
        <f>IF(AND(A12 &gt;= 'Task - Upliftment'!$E$4, A12 &lt;= 'Task - Upliftment'!$F$4, OR(B12="Facebook", B12="Twitter")),
    "Present",
    IF(A12 &lt; 'Task - Upliftment'!$E$4,
       IF(OR(B12="Facebook", B12="Twitter"), "Before", "NP"),
       "NP"))</f>
        <v>Before</v>
      </c>
      <c r="K12" t="str">
        <f>IF(AND(A12 &gt;= 'Task - Upliftment'!$E$5, A12 &lt;= 'Task - Upliftment'!$F$5, OR(B12="Instagram", B12="Twitter")),
    "Present",
    IF(A12 &lt; 'Task - Upliftment'!$E$5,
       IF(OR(B12="Instagram", B12="Twitter"), "Before", "NP"),
       "NP"))</f>
        <v>Before</v>
      </c>
    </row>
    <row r="13" spans="1:11" x14ac:dyDescent="0.3">
      <c r="A13" s="27" t="s">
        <v>164</v>
      </c>
      <c r="B13" s="5" t="s">
        <v>27</v>
      </c>
      <c r="C13" s="5">
        <v>403</v>
      </c>
      <c r="D13" s="5">
        <v>66</v>
      </c>
      <c r="E13" s="5">
        <v>382851</v>
      </c>
      <c r="F13" s="5">
        <v>3.49</v>
      </c>
      <c r="G13" s="5">
        <v>24313</v>
      </c>
      <c r="H13" t="str">
        <f>IF(AND(A13 &gt;= 'Task - Upliftment'!$E$2, A13 &lt;= 'Task - Upliftment'!$F$2, OR(B13="Instagram", B13="Facebook")),
    "Present",
    IF(A13 &lt; 'Task - Upliftment'!$E$2,
       IF(OR(B13="Instagram", B13="Facebook"), "Before", "NP"),
       "NP"))</f>
        <v>NP</v>
      </c>
      <c r="I13" t="str">
        <f>IF(AND(A13 &gt;= 'Task - Upliftment'!$E$3, A13 &lt;= 'Task - Upliftment'!$F$3, OR(B13="Instagram", B13="YouTube")),
    "Present",
    IF(A13 &lt; 'Task - Upliftment'!$E$3,
       IF(OR(B13="Instagram", B13="YouTube"), "Before", "NP"),
       "NP"))</f>
        <v>Before</v>
      </c>
      <c r="J13" t="str">
        <f>IF(AND(A13 &gt;= 'Task - Upliftment'!$E$4, A13 &lt;= 'Task - Upliftment'!$F$4, OR(B13="Facebook", B13="Twitter")),
    "Present",
    IF(A13 &lt; 'Task - Upliftment'!$E$4,
       IF(OR(B13="Facebook", B13="Twitter"), "Before", "NP"),
       "NP"))</f>
        <v>NP</v>
      </c>
      <c r="K13" t="str">
        <f>IF(AND(A13 &gt;= 'Task - Upliftment'!$E$5, A13 &lt;= 'Task - Upliftment'!$F$5, OR(B13="Instagram", B13="Twitter")),
    "Present",
    IF(A13 &lt; 'Task - Upliftment'!$E$5,
       IF(OR(B13="Instagram", B13="Twitter"), "Before", "NP"),
       "NP"))</f>
        <v>NP</v>
      </c>
    </row>
    <row r="14" spans="1:11" x14ac:dyDescent="0.3">
      <c r="A14" s="27" t="s">
        <v>48</v>
      </c>
      <c r="B14" s="5" t="s">
        <v>33</v>
      </c>
      <c r="C14" s="5">
        <v>911</v>
      </c>
      <c r="D14" s="5">
        <v>282</v>
      </c>
      <c r="E14" s="5">
        <v>35664</v>
      </c>
      <c r="F14" s="5">
        <v>6.92</v>
      </c>
      <c r="G14" s="5">
        <v>18050</v>
      </c>
      <c r="H14" t="str">
        <f>IF(AND(A14 &gt;= 'Task - Upliftment'!$E$2, A14 &lt;= 'Task - Upliftment'!$F$2, OR(B14="Instagram", B14="Facebook")),
    "Present",
    IF(A14 &lt; 'Task - Upliftment'!$E$2,
       IF(OR(B14="Instagram", B14="Facebook"), "Before", "NP"),
       "NP"))</f>
        <v>Present</v>
      </c>
      <c r="I14" t="str">
        <f>IF(AND(A14 &gt;= 'Task - Upliftment'!$E$3, A14 &lt;= 'Task - Upliftment'!$F$3, OR(B14="Instagram", B14="YouTube")),
    "Present",
    IF(A14 &lt; 'Task - Upliftment'!$E$3,
       IF(OR(B14="Instagram", B14="YouTube"), "Before", "NP"),
       "NP"))</f>
        <v>Before</v>
      </c>
      <c r="J14" t="str">
        <f>IF(AND(A14 &gt;= 'Task - Upliftment'!$E$4, A14 &lt;= 'Task - Upliftment'!$F$4, OR(B14="Facebook", B14="Twitter")),
    "Present",
    IF(A14 &lt; 'Task - Upliftment'!$E$4,
       IF(OR(B14="Facebook", B14="Twitter"), "Before", "NP"),
       "NP"))</f>
        <v>NP</v>
      </c>
      <c r="K14" t="str">
        <f>IF(AND(A14 &gt;= 'Task - Upliftment'!$E$5, A14 &lt;= 'Task - Upliftment'!$F$5, OR(B14="Instagram", B14="Twitter")),
    "Present",
    IF(A14 &lt; 'Task - Upliftment'!$E$5,
       IF(OR(B14="Instagram", B14="Twitter"), "Before", "NP"),
       "NP"))</f>
        <v>Before</v>
      </c>
    </row>
    <row r="15" spans="1:11" x14ac:dyDescent="0.3">
      <c r="A15" s="27" t="s">
        <v>48</v>
      </c>
      <c r="B15" s="5" t="s">
        <v>43</v>
      </c>
      <c r="C15" s="5">
        <v>1779</v>
      </c>
      <c r="D15" s="5">
        <v>109</v>
      </c>
      <c r="E15" s="5">
        <v>26295</v>
      </c>
      <c r="F15" s="5">
        <v>9.1199999999999992</v>
      </c>
      <c r="G15" s="5">
        <v>30635</v>
      </c>
      <c r="H15" t="str">
        <f>IF(AND(A15 &gt;= 'Task - Upliftment'!$E$2, A15 &lt;= 'Task - Upliftment'!$F$2, OR(B15="Instagram", B15="Facebook")),
    "Present",
    IF(A15 &lt; 'Task - Upliftment'!$E$2,
       IF(OR(B15="Instagram", B15="Facebook"), "Before", "NP"),
       "NP"))</f>
        <v>Present</v>
      </c>
      <c r="I15" t="str">
        <f>IF(AND(A15 &gt;= 'Task - Upliftment'!$E$3, A15 &lt;= 'Task - Upliftment'!$F$3, OR(B15="Instagram", B15="YouTube")),
    "Present",
    IF(A15 &lt; 'Task - Upliftment'!$E$3,
       IF(OR(B15="Instagram", B15="YouTube"), "Before", "NP"),
       "NP"))</f>
        <v>NP</v>
      </c>
      <c r="J15" t="str">
        <f>IF(AND(A15 &gt;= 'Task - Upliftment'!$E$4, A15 &lt;= 'Task - Upliftment'!$F$4, OR(B15="Facebook", B15="Twitter")),
    "Present",
    IF(A15 &lt; 'Task - Upliftment'!$E$4,
       IF(OR(B15="Facebook", B15="Twitter"), "Before", "NP"),
       "NP"))</f>
        <v>Before</v>
      </c>
      <c r="K15" t="str">
        <f>IF(AND(A15 &gt;= 'Task - Upliftment'!$E$5, A15 &lt;= 'Task - Upliftment'!$F$5, OR(B15="Instagram", B15="Twitter")),
    "Present",
    IF(A15 &lt; 'Task - Upliftment'!$E$5,
       IF(OR(B15="Instagram", B15="Twitter"), "Before", "NP"),
       "NP"))</f>
        <v>NP</v>
      </c>
    </row>
    <row r="16" spans="1:11" x14ac:dyDescent="0.3">
      <c r="A16" s="27" t="s">
        <v>48</v>
      </c>
      <c r="B16" s="5" t="s">
        <v>14</v>
      </c>
      <c r="C16" s="5">
        <v>1238</v>
      </c>
      <c r="D16" s="5">
        <v>403</v>
      </c>
      <c r="E16" s="5">
        <v>298421</v>
      </c>
      <c r="F16" s="5">
        <v>3.5</v>
      </c>
      <c r="G16" s="5">
        <v>31280</v>
      </c>
      <c r="H16" t="str">
        <f>IF(AND(A16 &gt;= 'Task - Upliftment'!$E$2, A16 &lt;= 'Task - Upliftment'!$F$2, OR(B16="Instagram", B16="Facebook")),
    "Present",
    IF(A16 &lt; 'Task - Upliftment'!$E$2,
       IF(OR(B16="Instagram", B16="Facebook"), "Before", "NP"),
       "NP"))</f>
        <v>NP</v>
      </c>
      <c r="I16" t="str">
        <f>IF(AND(A16 &gt;= 'Task - Upliftment'!$E$3, A16 &lt;= 'Task - Upliftment'!$F$3, OR(B16="Instagram", B16="YouTube")),
    "Present",
    IF(A16 &lt; 'Task - Upliftment'!$E$3,
       IF(OR(B16="Instagram", B16="YouTube"), "Before", "NP"),
       "NP"))</f>
        <v>NP</v>
      </c>
      <c r="J16" t="str">
        <f>IF(AND(A16 &gt;= 'Task - Upliftment'!$E$4, A16 &lt;= 'Task - Upliftment'!$F$4, OR(B16="Facebook", B16="Twitter")),
    "Present",
    IF(A16 &lt; 'Task - Upliftment'!$E$4,
       IF(OR(B16="Facebook", B16="Twitter"), "Before", "NP"),
       "NP"))</f>
        <v>Before</v>
      </c>
      <c r="K16" t="str">
        <f>IF(AND(A16 &gt;= 'Task - Upliftment'!$E$5, A16 &lt;= 'Task - Upliftment'!$F$5, OR(B16="Instagram", B16="Twitter")),
    "Present",
    IF(A16 &lt; 'Task - Upliftment'!$E$5,
       IF(OR(B16="Instagram", B16="Twitter"), "Before", "NP"),
       "NP"))</f>
        <v>Before</v>
      </c>
    </row>
    <row r="17" spans="1:11" x14ac:dyDescent="0.3">
      <c r="A17" s="27" t="s">
        <v>48</v>
      </c>
      <c r="B17" s="5" t="s">
        <v>27</v>
      </c>
      <c r="C17" s="5">
        <v>308</v>
      </c>
      <c r="D17" s="5">
        <v>431</v>
      </c>
      <c r="E17" s="5">
        <v>426184</v>
      </c>
      <c r="F17" s="5">
        <v>2.62</v>
      </c>
      <c r="G17" s="5">
        <v>1783</v>
      </c>
      <c r="H17" t="str">
        <f>IF(AND(A17 &gt;= 'Task - Upliftment'!$E$2, A17 &lt;= 'Task - Upliftment'!$F$2, OR(B17="Instagram", B17="Facebook")),
    "Present",
    IF(A17 &lt; 'Task - Upliftment'!$E$2,
       IF(OR(B17="Instagram", B17="Facebook"), "Before", "NP"),
       "NP"))</f>
        <v>NP</v>
      </c>
      <c r="I17" t="str">
        <f>IF(AND(A17 &gt;= 'Task - Upliftment'!$E$3, A17 &lt;= 'Task - Upliftment'!$F$3, OR(B17="Instagram", B17="YouTube")),
    "Present",
    IF(A17 &lt; 'Task - Upliftment'!$E$3,
       IF(OR(B17="Instagram", B17="YouTube"), "Before", "NP"),
       "NP"))</f>
        <v>Before</v>
      </c>
      <c r="J17" t="str">
        <f>IF(AND(A17 &gt;= 'Task - Upliftment'!$E$4, A17 &lt;= 'Task - Upliftment'!$F$4, OR(B17="Facebook", B17="Twitter")),
    "Present",
    IF(A17 &lt; 'Task - Upliftment'!$E$4,
       IF(OR(B17="Facebook", B17="Twitter"), "Before", "NP"),
       "NP"))</f>
        <v>NP</v>
      </c>
      <c r="K17" t="str">
        <f>IF(AND(A17 &gt;= 'Task - Upliftment'!$E$5, A17 &lt;= 'Task - Upliftment'!$F$5, OR(B17="Instagram", B17="Twitter")),
    "Present",
    IF(A17 &lt; 'Task - Upliftment'!$E$5,
       IF(OR(B17="Instagram", B17="Twitter"), "Before", "NP"),
       "NP"))</f>
        <v>NP</v>
      </c>
    </row>
    <row r="18" spans="1:11" x14ac:dyDescent="0.3">
      <c r="A18" s="27" t="s">
        <v>455</v>
      </c>
      <c r="B18" s="5" t="s">
        <v>33</v>
      </c>
      <c r="C18" s="5">
        <v>226</v>
      </c>
      <c r="D18" s="5">
        <v>445</v>
      </c>
      <c r="E18" s="5">
        <v>419447</v>
      </c>
      <c r="F18" s="5">
        <v>9.36</v>
      </c>
      <c r="G18" s="5">
        <v>9566</v>
      </c>
      <c r="H18" t="str">
        <f>IF(AND(A18 &gt;= 'Task - Upliftment'!$E$2, A18 &lt;= 'Task - Upliftment'!$F$2, OR(B18="Instagram", B18="Facebook")),
    "Present",
    IF(A18 &lt; 'Task - Upliftment'!$E$2,
       IF(OR(B18="Instagram", B18="Facebook"), "Before", "NP"),
       "NP"))</f>
        <v>Present</v>
      </c>
      <c r="I18" t="str">
        <f>IF(AND(A18 &gt;= 'Task - Upliftment'!$E$3, A18 &lt;= 'Task - Upliftment'!$F$3, OR(B18="Instagram", B18="YouTube")),
    "Present",
    IF(A18 &lt; 'Task - Upliftment'!$E$3,
       IF(OR(B18="Instagram", B18="YouTube"), "Before", "NP"),
       "NP"))</f>
        <v>Before</v>
      </c>
      <c r="J18" t="str">
        <f>IF(AND(A18 &gt;= 'Task - Upliftment'!$E$4, A18 &lt;= 'Task - Upliftment'!$F$4, OR(B18="Facebook", B18="Twitter")),
    "Present",
    IF(A18 &lt; 'Task - Upliftment'!$E$4,
       IF(OR(B18="Facebook", B18="Twitter"), "Before", "NP"),
       "NP"))</f>
        <v>NP</v>
      </c>
      <c r="K18" t="str">
        <f>IF(AND(A18 &gt;= 'Task - Upliftment'!$E$5, A18 &lt;= 'Task - Upliftment'!$F$5, OR(B18="Instagram", B18="Twitter")),
    "Present",
    IF(A18 &lt; 'Task - Upliftment'!$E$5,
       IF(OR(B18="Instagram", B18="Twitter"), "Before", "NP"),
       "NP"))</f>
        <v>Before</v>
      </c>
    </row>
    <row r="19" spans="1:11" x14ac:dyDescent="0.3">
      <c r="A19" s="27" t="s">
        <v>455</v>
      </c>
      <c r="B19" s="5" t="s">
        <v>43</v>
      </c>
      <c r="C19" s="5">
        <v>505</v>
      </c>
      <c r="D19" s="5">
        <v>441</v>
      </c>
      <c r="E19" s="5">
        <v>220020</v>
      </c>
      <c r="F19" s="5">
        <v>4.4800000000000004</v>
      </c>
      <c r="G19" s="5">
        <v>42307</v>
      </c>
      <c r="H19" t="str">
        <f>IF(AND(A19 &gt;= 'Task - Upliftment'!$E$2, A19 &lt;= 'Task - Upliftment'!$F$2, OR(B19="Instagram", B19="Facebook")),
    "Present",
    IF(A19 &lt; 'Task - Upliftment'!$E$2,
       IF(OR(B19="Instagram", B19="Facebook"), "Before", "NP"),
       "NP"))</f>
        <v>Present</v>
      </c>
      <c r="I19" t="str">
        <f>IF(AND(A19 &gt;= 'Task - Upliftment'!$E$3, A19 &lt;= 'Task - Upliftment'!$F$3, OR(B19="Instagram", B19="YouTube")),
    "Present",
    IF(A19 &lt; 'Task - Upliftment'!$E$3,
       IF(OR(B19="Instagram", B19="YouTube"), "Before", "NP"),
       "NP"))</f>
        <v>NP</v>
      </c>
      <c r="J19" t="str">
        <f>IF(AND(A19 &gt;= 'Task - Upliftment'!$E$4, A19 &lt;= 'Task - Upliftment'!$F$4, OR(B19="Facebook", B19="Twitter")),
    "Present",
    IF(A19 &lt; 'Task - Upliftment'!$E$4,
       IF(OR(B19="Facebook", B19="Twitter"), "Before", "NP"),
       "NP"))</f>
        <v>Before</v>
      </c>
      <c r="K19" t="str">
        <f>IF(AND(A19 &gt;= 'Task - Upliftment'!$E$5, A19 &lt;= 'Task - Upliftment'!$F$5, OR(B19="Instagram", B19="Twitter")),
    "Present",
    IF(A19 &lt; 'Task - Upliftment'!$E$5,
       IF(OR(B19="Instagram", B19="Twitter"), "Before", "NP"),
       "NP"))</f>
        <v>NP</v>
      </c>
    </row>
    <row r="20" spans="1:11" x14ac:dyDescent="0.3">
      <c r="A20" s="27" t="s">
        <v>455</v>
      </c>
      <c r="B20" s="5" t="s">
        <v>14</v>
      </c>
      <c r="C20" s="5">
        <v>1420</v>
      </c>
      <c r="D20" s="5">
        <v>63</v>
      </c>
      <c r="E20" s="5">
        <v>315305</v>
      </c>
      <c r="F20" s="5">
        <v>6.19</v>
      </c>
      <c r="G20" s="5">
        <v>5914</v>
      </c>
      <c r="H20" t="str">
        <f>IF(AND(A20 &gt;= 'Task - Upliftment'!$E$2, A20 &lt;= 'Task - Upliftment'!$F$2, OR(B20="Instagram", B20="Facebook")),
    "Present",
    IF(A20 &lt; 'Task - Upliftment'!$E$2,
       IF(OR(B20="Instagram", B20="Facebook"), "Before", "NP"),
       "NP"))</f>
        <v>NP</v>
      </c>
      <c r="I20" t="str">
        <f>IF(AND(A20 &gt;= 'Task - Upliftment'!$E$3, A20 &lt;= 'Task - Upliftment'!$F$3, OR(B20="Instagram", B20="YouTube")),
    "Present",
    IF(A20 &lt; 'Task - Upliftment'!$E$3,
       IF(OR(B20="Instagram", B20="YouTube"), "Before", "NP"),
       "NP"))</f>
        <v>NP</v>
      </c>
      <c r="J20" t="str">
        <f>IF(AND(A20 &gt;= 'Task - Upliftment'!$E$4, A20 &lt;= 'Task - Upliftment'!$F$4, OR(B20="Facebook", B20="Twitter")),
    "Present",
    IF(A20 &lt; 'Task - Upliftment'!$E$4,
       IF(OR(B20="Facebook", B20="Twitter"), "Before", "NP"),
       "NP"))</f>
        <v>Before</v>
      </c>
      <c r="K20" t="str">
        <f>IF(AND(A20 &gt;= 'Task - Upliftment'!$E$5, A20 &lt;= 'Task - Upliftment'!$F$5, OR(B20="Instagram", B20="Twitter")),
    "Present",
    IF(A20 &lt; 'Task - Upliftment'!$E$5,
       IF(OR(B20="Instagram", B20="Twitter"), "Before", "NP"),
       "NP"))</f>
        <v>Before</v>
      </c>
    </row>
    <row r="21" spans="1:11" x14ac:dyDescent="0.3">
      <c r="A21" s="27" t="s">
        <v>455</v>
      </c>
      <c r="B21" s="5" t="s">
        <v>27</v>
      </c>
      <c r="C21" s="5">
        <v>144</v>
      </c>
      <c r="D21" s="5">
        <v>53</v>
      </c>
      <c r="E21" s="5">
        <v>113678</v>
      </c>
      <c r="F21" s="5">
        <v>8.7200000000000006</v>
      </c>
      <c r="G21" s="5">
        <v>30060</v>
      </c>
      <c r="H21" t="str">
        <f>IF(AND(A21 &gt;= 'Task - Upliftment'!$E$2, A21 &lt;= 'Task - Upliftment'!$F$2, OR(B21="Instagram", B21="Facebook")),
    "Present",
    IF(A21 &lt; 'Task - Upliftment'!$E$2,
       IF(OR(B21="Instagram", B21="Facebook"), "Before", "NP"),
       "NP"))</f>
        <v>NP</v>
      </c>
      <c r="I21" t="str">
        <f>IF(AND(A21 &gt;= 'Task - Upliftment'!$E$3, A21 &lt;= 'Task - Upliftment'!$F$3, OR(B21="Instagram", B21="YouTube")),
    "Present",
    IF(A21 &lt; 'Task - Upliftment'!$E$3,
       IF(OR(B21="Instagram", B21="YouTube"), "Before", "NP"),
       "NP"))</f>
        <v>Before</v>
      </c>
      <c r="J21" t="str">
        <f>IF(AND(A21 &gt;= 'Task - Upliftment'!$E$4, A21 &lt;= 'Task - Upliftment'!$F$4, OR(B21="Facebook", B21="Twitter")),
    "Present",
    IF(A21 &lt; 'Task - Upliftment'!$E$4,
       IF(OR(B21="Facebook", B21="Twitter"), "Before", "NP"),
       "NP"))</f>
        <v>NP</v>
      </c>
      <c r="K21" t="str">
        <f>IF(AND(A21 &gt;= 'Task - Upliftment'!$E$5, A21 &lt;= 'Task - Upliftment'!$F$5, OR(B21="Instagram", B21="Twitter")),
    "Present",
    IF(A21 &lt; 'Task - Upliftment'!$E$5,
       IF(OR(B21="Instagram", B21="Twitter"), "Before", "NP"),
       "NP"))</f>
        <v>NP</v>
      </c>
    </row>
    <row r="22" spans="1:11" x14ac:dyDescent="0.3">
      <c r="A22" s="27" t="s">
        <v>604</v>
      </c>
      <c r="B22" s="5" t="s">
        <v>33</v>
      </c>
      <c r="C22" s="5">
        <v>1757</v>
      </c>
      <c r="D22" s="5">
        <v>85</v>
      </c>
      <c r="E22" s="5">
        <v>58223</v>
      </c>
      <c r="F22" s="5">
        <v>8.74</v>
      </c>
      <c r="G22" s="5">
        <v>22728</v>
      </c>
      <c r="H22" t="str">
        <f>IF(AND(A22 &gt;= 'Task - Upliftment'!$E$2, A22 &lt;= 'Task - Upliftment'!$F$2, OR(B22="Instagram", B22="Facebook")),
    "Present",
    IF(A22 &lt; 'Task - Upliftment'!$E$2,
       IF(OR(B22="Instagram", B22="Facebook"), "Before", "NP"),
       "NP"))</f>
        <v>Present</v>
      </c>
      <c r="I22" t="str">
        <f>IF(AND(A22 &gt;= 'Task - Upliftment'!$E$3, A22 &lt;= 'Task - Upliftment'!$F$3, OR(B22="Instagram", B22="YouTube")),
    "Present",
    IF(A22 &lt; 'Task - Upliftment'!$E$3,
       IF(OR(B22="Instagram", B22="YouTube"), "Before", "NP"),
       "NP"))</f>
        <v>Before</v>
      </c>
      <c r="J22" t="str">
        <f>IF(AND(A22 &gt;= 'Task - Upliftment'!$E$4, A22 &lt;= 'Task - Upliftment'!$F$4, OR(B22="Facebook", B22="Twitter")),
    "Present",
    IF(A22 &lt; 'Task - Upliftment'!$E$4,
       IF(OR(B22="Facebook", B22="Twitter"), "Before", "NP"),
       "NP"))</f>
        <v>NP</v>
      </c>
      <c r="K22" t="str">
        <f>IF(AND(A22 &gt;= 'Task - Upliftment'!$E$5, A22 &lt;= 'Task - Upliftment'!$F$5, OR(B22="Instagram", B22="Twitter")),
    "Present",
    IF(A22 &lt; 'Task - Upliftment'!$E$5,
       IF(OR(B22="Instagram", B22="Twitter"), "Before", "NP"),
       "NP"))</f>
        <v>Before</v>
      </c>
    </row>
    <row r="23" spans="1:11" x14ac:dyDescent="0.3">
      <c r="A23" s="27" t="s">
        <v>604</v>
      </c>
      <c r="B23" s="5" t="s">
        <v>43</v>
      </c>
      <c r="C23" s="5">
        <v>350</v>
      </c>
      <c r="D23" s="5">
        <v>41</v>
      </c>
      <c r="E23" s="5">
        <v>251694</v>
      </c>
      <c r="F23" s="5">
        <v>1.91</v>
      </c>
      <c r="G23" s="5">
        <v>38610</v>
      </c>
      <c r="H23" t="str">
        <f>IF(AND(A23 &gt;= 'Task - Upliftment'!$E$2, A23 &lt;= 'Task - Upliftment'!$F$2, OR(B23="Instagram", B23="Facebook")),
    "Present",
    IF(A23 &lt; 'Task - Upliftment'!$E$2,
       IF(OR(B23="Instagram", B23="Facebook"), "Before", "NP"),
       "NP"))</f>
        <v>Present</v>
      </c>
      <c r="I23" t="str">
        <f>IF(AND(A23 &gt;= 'Task - Upliftment'!$E$3, A23 &lt;= 'Task - Upliftment'!$F$3, OR(B23="Instagram", B23="YouTube")),
    "Present",
    IF(A23 &lt; 'Task - Upliftment'!$E$3,
       IF(OR(B23="Instagram", B23="YouTube"), "Before", "NP"),
       "NP"))</f>
        <v>NP</v>
      </c>
      <c r="J23" t="str">
        <f>IF(AND(A23 &gt;= 'Task - Upliftment'!$E$4, A23 &lt;= 'Task - Upliftment'!$F$4, OR(B23="Facebook", B23="Twitter")),
    "Present",
    IF(A23 &lt; 'Task - Upliftment'!$E$4,
       IF(OR(B23="Facebook", B23="Twitter"), "Before", "NP"),
       "NP"))</f>
        <v>Before</v>
      </c>
      <c r="K23" t="str">
        <f>IF(AND(A23 &gt;= 'Task - Upliftment'!$E$5, A23 &lt;= 'Task - Upliftment'!$F$5, OR(B23="Instagram", B23="Twitter")),
    "Present",
    IF(A23 &lt; 'Task - Upliftment'!$E$5,
       IF(OR(B23="Instagram", B23="Twitter"), "Before", "NP"),
       "NP"))</f>
        <v>NP</v>
      </c>
    </row>
    <row r="24" spans="1:11" x14ac:dyDescent="0.3">
      <c r="A24" s="27" t="s">
        <v>604</v>
      </c>
      <c r="B24" s="5" t="s">
        <v>14</v>
      </c>
      <c r="C24" s="5">
        <v>987</v>
      </c>
      <c r="D24" s="5">
        <v>440</v>
      </c>
      <c r="E24" s="5">
        <v>389810</v>
      </c>
      <c r="F24" s="5">
        <v>4.66</v>
      </c>
      <c r="G24" s="5">
        <v>2932</v>
      </c>
      <c r="H24" t="str">
        <f>IF(AND(A24 &gt;= 'Task - Upliftment'!$E$2, A24 &lt;= 'Task - Upliftment'!$F$2, OR(B24="Instagram", B24="Facebook")),
    "Present",
    IF(A24 &lt; 'Task - Upliftment'!$E$2,
       IF(OR(B24="Instagram", B24="Facebook"), "Before", "NP"),
       "NP"))</f>
        <v>NP</v>
      </c>
      <c r="I24" t="str">
        <f>IF(AND(A24 &gt;= 'Task - Upliftment'!$E$3, A24 &lt;= 'Task - Upliftment'!$F$3, OR(B24="Instagram", B24="YouTube")),
    "Present",
    IF(A24 &lt; 'Task - Upliftment'!$E$3,
       IF(OR(B24="Instagram", B24="YouTube"), "Before", "NP"),
       "NP"))</f>
        <v>NP</v>
      </c>
      <c r="J24" t="str">
        <f>IF(AND(A24 &gt;= 'Task - Upliftment'!$E$4, A24 &lt;= 'Task - Upliftment'!$F$4, OR(B24="Facebook", B24="Twitter")),
    "Present",
    IF(A24 &lt; 'Task - Upliftment'!$E$4,
       IF(OR(B24="Facebook", B24="Twitter"), "Before", "NP"),
       "NP"))</f>
        <v>Before</v>
      </c>
      <c r="K24" t="str">
        <f>IF(AND(A24 &gt;= 'Task - Upliftment'!$E$5, A24 &lt;= 'Task - Upliftment'!$F$5, OR(B24="Instagram", B24="Twitter")),
    "Present",
    IF(A24 &lt; 'Task - Upliftment'!$E$5,
       IF(OR(B24="Instagram", B24="Twitter"), "Before", "NP"),
       "NP"))</f>
        <v>Before</v>
      </c>
    </row>
    <row r="25" spans="1:11" x14ac:dyDescent="0.3">
      <c r="A25" s="27" t="s">
        <v>604</v>
      </c>
      <c r="B25" s="5" t="s">
        <v>27</v>
      </c>
      <c r="C25" s="5">
        <v>883</v>
      </c>
      <c r="D25" s="5">
        <v>369</v>
      </c>
      <c r="E25" s="5">
        <v>233694</v>
      </c>
      <c r="F25" s="5">
        <v>2.88</v>
      </c>
      <c r="G25" s="5">
        <v>15071</v>
      </c>
      <c r="H25" t="str">
        <f>IF(AND(A25 &gt;= 'Task - Upliftment'!$E$2, A25 &lt;= 'Task - Upliftment'!$F$2, OR(B25="Instagram", B25="Facebook")),
    "Present",
    IF(A25 &lt; 'Task - Upliftment'!$E$2,
       IF(OR(B25="Instagram", B25="Facebook"), "Before", "NP"),
       "NP"))</f>
        <v>NP</v>
      </c>
      <c r="I25" t="str">
        <f>IF(AND(A25 &gt;= 'Task - Upliftment'!$E$3, A25 &lt;= 'Task - Upliftment'!$F$3, OR(B25="Instagram", B25="YouTube")),
    "Present",
    IF(A25 &lt; 'Task - Upliftment'!$E$3,
       IF(OR(B25="Instagram", B25="YouTube"), "Before", "NP"),
       "NP"))</f>
        <v>Before</v>
      </c>
      <c r="J25" t="str">
        <f>IF(AND(A25 &gt;= 'Task - Upliftment'!$E$4, A25 &lt;= 'Task - Upliftment'!$F$4, OR(B25="Facebook", B25="Twitter")),
    "Present",
    IF(A25 &lt; 'Task - Upliftment'!$E$4,
       IF(OR(B25="Facebook", B25="Twitter"), "Before", "NP"),
       "NP"))</f>
        <v>NP</v>
      </c>
      <c r="K25" t="str">
        <f>IF(AND(A25 &gt;= 'Task - Upliftment'!$E$5, A25 &lt;= 'Task - Upliftment'!$F$5, OR(B25="Instagram", B25="Twitter")),
    "Present",
    IF(A25 &lt; 'Task - Upliftment'!$E$5,
       IF(OR(B25="Instagram", B25="Twitter"), "Before", "NP"),
       "NP"))</f>
        <v>NP</v>
      </c>
    </row>
    <row r="26" spans="1:11" x14ac:dyDescent="0.3">
      <c r="A26" s="27" t="s">
        <v>315</v>
      </c>
      <c r="B26" s="5" t="s">
        <v>33</v>
      </c>
      <c r="C26" s="5">
        <v>1960</v>
      </c>
      <c r="D26" s="5">
        <v>115</v>
      </c>
      <c r="E26" s="5">
        <v>154169</v>
      </c>
      <c r="F26" s="5">
        <v>3.74</v>
      </c>
      <c r="G26" s="5">
        <v>10740</v>
      </c>
      <c r="H26" t="str">
        <f>IF(AND(A26 &gt;= 'Task - Upliftment'!$E$2, A26 &lt;= 'Task - Upliftment'!$F$2, OR(B26="Instagram", B26="Facebook")),
    "Present",
    IF(A26 &lt; 'Task - Upliftment'!$E$2,
       IF(OR(B26="Instagram", B26="Facebook"), "Before", "NP"),
       "NP"))</f>
        <v>Present</v>
      </c>
      <c r="I26" t="str">
        <f>IF(AND(A26 &gt;= 'Task - Upliftment'!$E$3, A26 &lt;= 'Task - Upliftment'!$F$3, OR(B26="Instagram", B26="YouTube")),
    "Present",
    IF(A26 &lt; 'Task - Upliftment'!$E$3,
       IF(OR(B26="Instagram", B26="YouTube"), "Before", "NP"),
       "NP"))</f>
        <v>Before</v>
      </c>
      <c r="J26" t="str">
        <f>IF(AND(A26 &gt;= 'Task - Upliftment'!$E$4, A26 &lt;= 'Task - Upliftment'!$F$4, OR(B26="Facebook", B26="Twitter")),
    "Present",
    IF(A26 &lt; 'Task - Upliftment'!$E$4,
       IF(OR(B26="Facebook", B26="Twitter"), "Before", "NP"),
       "NP"))</f>
        <v>NP</v>
      </c>
      <c r="K26" t="str">
        <f>IF(AND(A26 &gt;= 'Task - Upliftment'!$E$5, A26 &lt;= 'Task - Upliftment'!$F$5, OR(B26="Instagram", B26="Twitter")),
    "Present",
    IF(A26 &lt; 'Task - Upliftment'!$E$5,
       IF(OR(B26="Instagram", B26="Twitter"), "Before", "NP"),
       "NP"))</f>
        <v>Before</v>
      </c>
    </row>
    <row r="27" spans="1:11" x14ac:dyDescent="0.3">
      <c r="A27" s="27" t="s">
        <v>315</v>
      </c>
      <c r="B27" s="5" t="s">
        <v>43</v>
      </c>
      <c r="C27" s="5">
        <v>170</v>
      </c>
      <c r="D27" s="5">
        <v>334</v>
      </c>
      <c r="E27" s="5">
        <v>334626</v>
      </c>
      <c r="F27" s="5">
        <v>6.44</v>
      </c>
      <c r="G27" s="5">
        <v>43420</v>
      </c>
      <c r="H27" t="str">
        <f>IF(AND(A27 &gt;= 'Task - Upliftment'!$E$2, A27 &lt;= 'Task - Upliftment'!$F$2, OR(B27="Instagram", B27="Facebook")),
    "Present",
    IF(A27 &lt; 'Task - Upliftment'!$E$2,
       IF(OR(B27="Instagram", B27="Facebook"), "Before", "NP"),
       "NP"))</f>
        <v>Present</v>
      </c>
      <c r="I27" t="str">
        <f>IF(AND(A27 &gt;= 'Task - Upliftment'!$E$3, A27 &lt;= 'Task - Upliftment'!$F$3, OR(B27="Instagram", B27="YouTube")),
    "Present",
    IF(A27 &lt; 'Task - Upliftment'!$E$3,
       IF(OR(B27="Instagram", B27="YouTube"), "Before", "NP"),
       "NP"))</f>
        <v>NP</v>
      </c>
      <c r="J27" t="str">
        <f>IF(AND(A27 &gt;= 'Task - Upliftment'!$E$4, A27 &lt;= 'Task - Upliftment'!$F$4, OR(B27="Facebook", B27="Twitter")),
    "Present",
    IF(A27 &lt; 'Task - Upliftment'!$E$4,
       IF(OR(B27="Facebook", B27="Twitter"), "Before", "NP"),
       "NP"))</f>
        <v>Before</v>
      </c>
      <c r="K27" t="str">
        <f>IF(AND(A27 &gt;= 'Task - Upliftment'!$E$5, A27 &lt;= 'Task - Upliftment'!$F$5, OR(B27="Instagram", B27="Twitter")),
    "Present",
    IF(A27 &lt; 'Task - Upliftment'!$E$5,
       IF(OR(B27="Instagram", B27="Twitter"), "Before", "NP"),
       "NP"))</f>
        <v>NP</v>
      </c>
    </row>
    <row r="28" spans="1:11" x14ac:dyDescent="0.3">
      <c r="A28" s="27" t="s">
        <v>315</v>
      </c>
      <c r="B28" s="5" t="s">
        <v>14</v>
      </c>
      <c r="C28" s="5">
        <v>704</v>
      </c>
      <c r="D28" s="5">
        <v>275</v>
      </c>
      <c r="E28" s="5">
        <v>226002</v>
      </c>
      <c r="F28" s="5">
        <v>8.56</v>
      </c>
      <c r="G28" s="5">
        <v>32393</v>
      </c>
      <c r="H28" t="str">
        <f>IF(AND(A28 &gt;= 'Task - Upliftment'!$E$2, A28 &lt;= 'Task - Upliftment'!$F$2, OR(B28="Instagram", B28="Facebook")),
    "Present",
    IF(A28 &lt; 'Task - Upliftment'!$E$2,
       IF(OR(B28="Instagram", B28="Facebook"), "Before", "NP"),
       "NP"))</f>
        <v>NP</v>
      </c>
      <c r="I28" t="str">
        <f>IF(AND(A28 &gt;= 'Task - Upliftment'!$E$3, A28 &lt;= 'Task - Upliftment'!$F$3, OR(B28="Instagram", B28="YouTube")),
    "Present",
    IF(A28 &lt; 'Task - Upliftment'!$E$3,
       IF(OR(B28="Instagram", B28="YouTube"), "Before", "NP"),
       "NP"))</f>
        <v>NP</v>
      </c>
      <c r="J28" t="str">
        <f>IF(AND(A28 &gt;= 'Task - Upliftment'!$E$4, A28 &lt;= 'Task - Upliftment'!$F$4, OR(B28="Facebook", B28="Twitter")),
    "Present",
    IF(A28 &lt; 'Task - Upliftment'!$E$4,
       IF(OR(B28="Facebook", B28="Twitter"), "Before", "NP"),
       "NP"))</f>
        <v>Before</v>
      </c>
      <c r="K28" t="str">
        <f>IF(AND(A28 &gt;= 'Task - Upliftment'!$E$5, A28 &lt;= 'Task - Upliftment'!$F$5, OR(B28="Instagram", B28="Twitter")),
    "Present",
    IF(A28 &lt; 'Task - Upliftment'!$E$5,
       IF(OR(B28="Instagram", B28="Twitter"), "Before", "NP"),
       "NP"))</f>
        <v>Before</v>
      </c>
    </row>
    <row r="29" spans="1:11" x14ac:dyDescent="0.3">
      <c r="A29" s="27" t="s">
        <v>315</v>
      </c>
      <c r="B29" s="5" t="s">
        <v>27</v>
      </c>
      <c r="C29" s="5">
        <v>224</v>
      </c>
      <c r="D29" s="5">
        <v>64</v>
      </c>
      <c r="E29" s="5">
        <v>156683</v>
      </c>
      <c r="F29" s="5">
        <v>4.5599999999999996</v>
      </c>
      <c r="G29" s="5">
        <v>28474</v>
      </c>
      <c r="H29" t="str">
        <f>IF(AND(A29 &gt;= 'Task - Upliftment'!$E$2, A29 &lt;= 'Task - Upliftment'!$F$2, OR(B29="Instagram", B29="Facebook")),
    "Present",
    IF(A29 &lt; 'Task - Upliftment'!$E$2,
       IF(OR(B29="Instagram", B29="Facebook"), "Before", "NP"),
       "NP"))</f>
        <v>NP</v>
      </c>
      <c r="I29" t="str">
        <f>IF(AND(A29 &gt;= 'Task - Upliftment'!$E$3, A29 &lt;= 'Task - Upliftment'!$F$3, OR(B29="Instagram", B29="YouTube")),
    "Present",
    IF(A29 &lt; 'Task - Upliftment'!$E$3,
       IF(OR(B29="Instagram", B29="YouTube"), "Before", "NP"),
       "NP"))</f>
        <v>Before</v>
      </c>
      <c r="J29" t="str">
        <f>IF(AND(A29 &gt;= 'Task - Upliftment'!$E$4, A29 &lt;= 'Task - Upliftment'!$F$4, OR(B29="Facebook", B29="Twitter")),
    "Present",
    IF(A29 &lt; 'Task - Upliftment'!$E$4,
       IF(OR(B29="Facebook", B29="Twitter"), "Before", "NP"),
       "NP"))</f>
        <v>NP</v>
      </c>
      <c r="K29" t="str">
        <f>IF(AND(A29 &gt;= 'Task - Upliftment'!$E$5, A29 &lt;= 'Task - Upliftment'!$F$5, OR(B29="Instagram", B29="Twitter")),
    "Present",
    IF(A29 &lt; 'Task - Upliftment'!$E$5,
       IF(OR(B29="Instagram", B29="Twitter"), "Before", "NP"),
       "NP"))</f>
        <v>NP</v>
      </c>
    </row>
    <row r="30" spans="1:11" x14ac:dyDescent="0.3">
      <c r="A30" s="27" t="s">
        <v>605</v>
      </c>
      <c r="B30" s="5" t="s">
        <v>33</v>
      </c>
      <c r="C30" s="5">
        <v>508</v>
      </c>
      <c r="D30" s="5">
        <v>349</v>
      </c>
      <c r="E30" s="5">
        <v>473812</v>
      </c>
      <c r="F30" s="5">
        <v>7.88</v>
      </c>
      <c r="G30" s="5">
        <v>17328</v>
      </c>
      <c r="H30" t="str">
        <f>IF(AND(A30 &gt;= 'Task - Upliftment'!$E$2, A30 &lt;= 'Task - Upliftment'!$F$2, OR(B30="Instagram", B30="Facebook")),
    "Present",
    IF(A30 &lt; 'Task - Upliftment'!$E$2,
       IF(OR(B30="Instagram", B30="Facebook"), "Before", "NP"),
       "NP"))</f>
        <v>NP</v>
      </c>
      <c r="I30" t="str">
        <f>IF(AND(A30 &gt;= 'Task - Upliftment'!$E$3, A30 &lt;= 'Task - Upliftment'!$F$3, OR(B30="Instagram", B30="YouTube")),
    "Present",
    IF(A30 &lt; 'Task - Upliftment'!$E$3,
       IF(OR(B30="Instagram", B30="YouTube"), "Before", "NP"),
       "NP"))</f>
        <v>Before</v>
      </c>
      <c r="J30" t="str">
        <f>IF(AND(A30 &gt;= 'Task - Upliftment'!$E$4, A30 &lt;= 'Task - Upliftment'!$F$4, OR(B30="Facebook", B30="Twitter")),
    "Present",
    IF(A30 &lt; 'Task - Upliftment'!$E$4,
       IF(OR(B30="Facebook", B30="Twitter"), "Before", "NP"),
       "NP"))</f>
        <v>NP</v>
      </c>
      <c r="K30" t="str">
        <f>IF(AND(A30 &gt;= 'Task - Upliftment'!$E$5, A30 &lt;= 'Task - Upliftment'!$F$5, OR(B30="Instagram", B30="Twitter")),
    "Present",
    IF(A30 &lt; 'Task - Upliftment'!$E$5,
       IF(OR(B30="Instagram", B30="Twitter"), "Before", "NP"),
       "NP"))</f>
        <v>Before</v>
      </c>
    </row>
    <row r="31" spans="1:11" x14ac:dyDescent="0.3">
      <c r="A31" s="27" t="s">
        <v>605</v>
      </c>
      <c r="B31" s="5" t="s">
        <v>43</v>
      </c>
      <c r="C31" s="5">
        <v>1391</v>
      </c>
      <c r="D31" s="5">
        <v>430</v>
      </c>
      <c r="E31" s="5">
        <v>295032</v>
      </c>
      <c r="F31" s="5">
        <v>7.86</v>
      </c>
      <c r="G31" s="5">
        <v>26067</v>
      </c>
      <c r="H31" t="str">
        <f>IF(AND(A31 &gt;= 'Task - Upliftment'!$E$2, A31 &lt;= 'Task - Upliftment'!$F$2, OR(B31="Instagram", B31="Facebook")),
    "Present",
    IF(A31 &lt; 'Task - Upliftment'!$E$2,
       IF(OR(B31="Instagram", B31="Facebook"), "Before", "NP"),
       "NP"))</f>
        <v>NP</v>
      </c>
      <c r="I31" t="str">
        <f>IF(AND(A31 &gt;= 'Task - Upliftment'!$E$3, A31 &lt;= 'Task - Upliftment'!$F$3, OR(B31="Instagram", B31="YouTube")),
    "Present",
    IF(A31 &lt; 'Task - Upliftment'!$E$3,
       IF(OR(B31="Instagram", B31="YouTube"), "Before", "NP"),
       "NP"))</f>
        <v>NP</v>
      </c>
      <c r="J31" t="str">
        <f>IF(AND(A31 &gt;= 'Task - Upliftment'!$E$4, A31 &lt;= 'Task - Upliftment'!$F$4, OR(B31="Facebook", B31="Twitter")),
    "Present",
    IF(A31 &lt; 'Task - Upliftment'!$E$4,
       IF(OR(B31="Facebook", B31="Twitter"), "Before", "NP"),
       "NP"))</f>
        <v>Before</v>
      </c>
      <c r="K31" t="str">
        <f>IF(AND(A31 &gt;= 'Task - Upliftment'!$E$5, A31 &lt;= 'Task - Upliftment'!$F$5, OR(B31="Instagram", B31="Twitter")),
    "Present",
    IF(A31 &lt; 'Task - Upliftment'!$E$5,
       IF(OR(B31="Instagram", B31="Twitter"), "Before", "NP"),
       "NP"))</f>
        <v>NP</v>
      </c>
    </row>
    <row r="32" spans="1:11" x14ac:dyDescent="0.3">
      <c r="A32" s="27" t="s">
        <v>605</v>
      </c>
      <c r="B32" s="5" t="s">
        <v>14</v>
      </c>
      <c r="C32" s="5">
        <v>1701</v>
      </c>
      <c r="D32" s="5">
        <v>385</v>
      </c>
      <c r="E32" s="5">
        <v>198278</v>
      </c>
      <c r="F32" s="5">
        <v>5.34</v>
      </c>
      <c r="G32" s="5">
        <v>32763</v>
      </c>
      <c r="H32" t="str">
        <f>IF(AND(A32 &gt;= 'Task - Upliftment'!$E$2, A32 &lt;= 'Task - Upliftment'!$F$2, OR(B32="Instagram", B32="Facebook")),
    "Present",
    IF(A32 &lt; 'Task - Upliftment'!$E$2,
       IF(OR(B32="Instagram", B32="Facebook"), "Before", "NP"),
       "NP"))</f>
        <v>NP</v>
      </c>
      <c r="I32" t="str">
        <f>IF(AND(A32 &gt;= 'Task - Upliftment'!$E$3, A32 &lt;= 'Task - Upliftment'!$F$3, OR(B32="Instagram", B32="YouTube")),
    "Present",
    IF(A32 &lt; 'Task - Upliftment'!$E$3,
       IF(OR(B32="Instagram", B32="YouTube"), "Before", "NP"),
       "NP"))</f>
        <v>NP</v>
      </c>
      <c r="J32" t="str">
        <f>IF(AND(A32 &gt;= 'Task - Upliftment'!$E$4, A32 &lt;= 'Task - Upliftment'!$F$4, OR(B32="Facebook", B32="Twitter")),
    "Present",
    IF(A32 &lt; 'Task - Upliftment'!$E$4,
       IF(OR(B32="Facebook", B32="Twitter"), "Before", "NP"),
       "NP"))</f>
        <v>Before</v>
      </c>
      <c r="K32" t="str">
        <f>IF(AND(A32 &gt;= 'Task - Upliftment'!$E$5, A32 &lt;= 'Task - Upliftment'!$F$5, OR(B32="Instagram", B32="Twitter")),
    "Present",
    IF(A32 &lt; 'Task - Upliftment'!$E$5,
       IF(OR(B32="Instagram", B32="Twitter"), "Before", "NP"),
       "NP"))</f>
        <v>Before</v>
      </c>
    </row>
    <row r="33" spans="1:11" x14ac:dyDescent="0.3">
      <c r="A33" s="27" t="s">
        <v>605</v>
      </c>
      <c r="B33" s="5" t="s">
        <v>27</v>
      </c>
      <c r="C33" s="5">
        <v>804</v>
      </c>
      <c r="D33" s="5">
        <v>487</v>
      </c>
      <c r="E33" s="5">
        <v>306564</v>
      </c>
      <c r="F33" s="5">
        <v>5.52</v>
      </c>
      <c r="G33" s="5">
        <v>26452</v>
      </c>
      <c r="H33" t="str">
        <f>IF(AND(A33 &gt;= 'Task - Upliftment'!$E$2, A33 &lt;= 'Task - Upliftment'!$F$2, OR(B33="Instagram", B33="Facebook")),
    "Present",
    IF(A33 &lt; 'Task - Upliftment'!$E$2,
       IF(OR(B33="Instagram", B33="Facebook"), "Before", "NP"),
       "NP"))</f>
        <v>NP</v>
      </c>
      <c r="I33" t="str">
        <f>IF(AND(A33 &gt;= 'Task - Upliftment'!$E$3, A33 &lt;= 'Task - Upliftment'!$F$3, OR(B33="Instagram", B33="YouTube")),
    "Present",
    IF(A33 &lt; 'Task - Upliftment'!$E$3,
       IF(OR(B33="Instagram", B33="YouTube"), "Before", "NP"),
       "NP"))</f>
        <v>Before</v>
      </c>
      <c r="J33" t="str">
        <f>IF(AND(A33 &gt;= 'Task - Upliftment'!$E$4, A33 &lt;= 'Task - Upliftment'!$F$4, OR(B33="Facebook", B33="Twitter")),
    "Present",
    IF(A33 &lt; 'Task - Upliftment'!$E$4,
       IF(OR(B33="Facebook", B33="Twitter"), "Before", "NP"),
       "NP"))</f>
        <v>NP</v>
      </c>
      <c r="K33" t="str">
        <f>IF(AND(A33 &gt;= 'Task - Upliftment'!$E$5, A33 &lt;= 'Task - Upliftment'!$F$5, OR(B33="Instagram", B33="Twitter")),
    "Present",
    IF(A33 &lt; 'Task - Upliftment'!$E$5,
       IF(OR(B33="Instagram", B33="Twitter"), "Before", "NP"),
       "NP"))</f>
        <v>NP</v>
      </c>
    </row>
    <row r="34" spans="1:11" x14ac:dyDescent="0.3">
      <c r="A34" s="27" t="s">
        <v>268</v>
      </c>
      <c r="B34" s="5" t="s">
        <v>33</v>
      </c>
      <c r="C34" s="5">
        <v>653</v>
      </c>
      <c r="D34" s="5">
        <v>112</v>
      </c>
      <c r="E34" s="5">
        <v>23664</v>
      </c>
      <c r="F34" s="5">
        <v>4.05</v>
      </c>
      <c r="G34" s="5">
        <v>15353</v>
      </c>
      <c r="H34" t="str">
        <f>IF(AND(A34 &gt;= 'Task - Upliftment'!$E$2, A34 &lt;= 'Task - Upliftment'!$F$2, OR(B34="Instagram", B34="Facebook")),
    "Present",
    IF(A34 &lt; 'Task - Upliftment'!$E$2,
       IF(OR(B34="Instagram", B34="Facebook"), "Before", "NP"),
       "NP"))</f>
        <v>NP</v>
      </c>
      <c r="I34" t="str">
        <f>IF(AND(A34 &gt;= 'Task - Upliftment'!$E$3, A34 &lt;= 'Task - Upliftment'!$F$3, OR(B34="Instagram", B34="YouTube")),
    "Present",
    IF(A34 &lt; 'Task - Upliftment'!$E$3,
       IF(OR(B34="Instagram", B34="YouTube"), "Before", "NP"),
       "NP"))</f>
        <v>Before</v>
      </c>
      <c r="J34" t="str">
        <f>IF(AND(A34 &gt;= 'Task - Upliftment'!$E$4, A34 &lt;= 'Task - Upliftment'!$F$4, OR(B34="Facebook", B34="Twitter")),
    "Present",
    IF(A34 &lt; 'Task - Upliftment'!$E$4,
       IF(OR(B34="Facebook", B34="Twitter"), "Before", "NP"),
       "NP"))</f>
        <v>NP</v>
      </c>
      <c r="K34" t="str">
        <f>IF(AND(A34 &gt;= 'Task - Upliftment'!$E$5, A34 &lt;= 'Task - Upliftment'!$F$5, OR(B34="Instagram", B34="Twitter")),
    "Present",
    IF(A34 &lt; 'Task - Upliftment'!$E$5,
       IF(OR(B34="Instagram", B34="Twitter"), "Before", "NP"),
       "NP"))</f>
        <v>Before</v>
      </c>
    </row>
    <row r="35" spans="1:11" x14ac:dyDescent="0.3">
      <c r="A35" s="27" t="s">
        <v>268</v>
      </c>
      <c r="B35" s="5" t="s">
        <v>43</v>
      </c>
      <c r="C35" s="5">
        <v>160</v>
      </c>
      <c r="D35" s="5">
        <v>478</v>
      </c>
      <c r="E35" s="5">
        <v>435034</v>
      </c>
      <c r="F35" s="5">
        <v>7.73</v>
      </c>
      <c r="G35" s="5">
        <v>4839</v>
      </c>
      <c r="H35" t="str">
        <f>IF(AND(A35 &gt;= 'Task - Upliftment'!$E$2, A35 &lt;= 'Task - Upliftment'!$F$2, OR(B35="Instagram", B35="Facebook")),
    "Present",
    IF(A35 &lt; 'Task - Upliftment'!$E$2,
       IF(OR(B35="Instagram", B35="Facebook"), "Before", "NP"),
       "NP"))</f>
        <v>NP</v>
      </c>
      <c r="I35" t="str">
        <f>IF(AND(A35 &gt;= 'Task - Upliftment'!$E$3, A35 &lt;= 'Task - Upliftment'!$F$3, OR(B35="Instagram", B35="YouTube")),
    "Present",
    IF(A35 &lt; 'Task - Upliftment'!$E$3,
       IF(OR(B35="Instagram", B35="YouTube"), "Before", "NP"),
       "NP"))</f>
        <v>NP</v>
      </c>
      <c r="J35" t="str">
        <f>IF(AND(A35 &gt;= 'Task - Upliftment'!$E$4, A35 &lt;= 'Task - Upliftment'!$F$4, OR(B35="Facebook", B35="Twitter")),
    "Present",
    IF(A35 &lt; 'Task - Upliftment'!$E$4,
       IF(OR(B35="Facebook", B35="Twitter"), "Before", "NP"),
       "NP"))</f>
        <v>Before</v>
      </c>
      <c r="K35" t="str">
        <f>IF(AND(A35 &gt;= 'Task - Upliftment'!$E$5, A35 &lt;= 'Task - Upliftment'!$F$5, OR(B35="Instagram", B35="Twitter")),
    "Present",
    IF(A35 &lt; 'Task - Upliftment'!$E$5,
       IF(OR(B35="Instagram", B35="Twitter"), "Before", "NP"),
       "NP"))</f>
        <v>NP</v>
      </c>
    </row>
    <row r="36" spans="1:11" x14ac:dyDescent="0.3">
      <c r="A36" s="27" t="s">
        <v>268</v>
      </c>
      <c r="B36" s="5" t="s">
        <v>14</v>
      </c>
      <c r="C36" s="5">
        <v>1756</v>
      </c>
      <c r="D36" s="5">
        <v>261</v>
      </c>
      <c r="E36" s="5">
        <v>287574</v>
      </c>
      <c r="F36" s="5">
        <v>4.3600000000000003</v>
      </c>
      <c r="G36" s="5">
        <v>39272</v>
      </c>
      <c r="H36" t="str">
        <f>IF(AND(A36 &gt;= 'Task - Upliftment'!$E$2, A36 &lt;= 'Task - Upliftment'!$F$2, OR(B36="Instagram", B36="Facebook")),
    "Present",
    IF(A36 &lt; 'Task - Upliftment'!$E$2,
       IF(OR(B36="Instagram", B36="Facebook"), "Before", "NP"),
       "NP"))</f>
        <v>NP</v>
      </c>
      <c r="I36" t="str">
        <f>IF(AND(A36 &gt;= 'Task - Upliftment'!$E$3, A36 &lt;= 'Task - Upliftment'!$F$3, OR(B36="Instagram", B36="YouTube")),
    "Present",
    IF(A36 &lt; 'Task - Upliftment'!$E$3,
       IF(OR(B36="Instagram", B36="YouTube"), "Before", "NP"),
       "NP"))</f>
        <v>NP</v>
      </c>
      <c r="J36" t="str">
        <f>IF(AND(A36 &gt;= 'Task - Upliftment'!$E$4, A36 &lt;= 'Task - Upliftment'!$F$4, OR(B36="Facebook", B36="Twitter")),
    "Present",
    IF(A36 &lt; 'Task - Upliftment'!$E$4,
       IF(OR(B36="Facebook", B36="Twitter"), "Before", "NP"),
       "NP"))</f>
        <v>Before</v>
      </c>
      <c r="K36" t="str">
        <f>IF(AND(A36 &gt;= 'Task - Upliftment'!$E$5, A36 &lt;= 'Task - Upliftment'!$F$5, OR(B36="Instagram", B36="Twitter")),
    "Present",
    IF(A36 &lt; 'Task - Upliftment'!$E$5,
       IF(OR(B36="Instagram", B36="Twitter"), "Before", "NP"),
       "NP"))</f>
        <v>Before</v>
      </c>
    </row>
    <row r="37" spans="1:11" x14ac:dyDescent="0.3">
      <c r="A37" s="27" t="s">
        <v>268</v>
      </c>
      <c r="B37" s="5" t="s">
        <v>27</v>
      </c>
      <c r="C37" s="5">
        <v>576</v>
      </c>
      <c r="D37" s="5">
        <v>101</v>
      </c>
      <c r="E37" s="5">
        <v>62499</v>
      </c>
      <c r="F37" s="5">
        <v>3.48</v>
      </c>
      <c r="G37" s="5">
        <v>16804</v>
      </c>
      <c r="H37" t="str">
        <f>IF(AND(A37 &gt;= 'Task - Upliftment'!$E$2, A37 &lt;= 'Task - Upliftment'!$F$2, OR(B37="Instagram", B37="Facebook")),
    "Present",
    IF(A37 &lt; 'Task - Upliftment'!$E$2,
       IF(OR(B37="Instagram", B37="Facebook"), "Before", "NP"),
       "NP"))</f>
        <v>NP</v>
      </c>
      <c r="I37" t="str">
        <f>IF(AND(A37 &gt;= 'Task - Upliftment'!$E$3, A37 &lt;= 'Task - Upliftment'!$F$3, OR(B37="Instagram", B37="YouTube")),
    "Present",
    IF(A37 &lt; 'Task - Upliftment'!$E$3,
       IF(OR(B37="Instagram", B37="YouTube"), "Before", "NP"),
       "NP"))</f>
        <v>Before</v>
      </c>
      <c r="J37" t="str">
        <f>IF(AND(A37 &gt;= 'Task - Upliftment'!$E$4, A37 &lt;= 'Task - Upliftment'!$F$4, OR(B37="Facebook", B37="Twitter")),
    "Present",
    IF(A37 &lt; 'Task - Upliftment'!$E$4,
       IF(OR(B37="Facebook", B37="Twitter"), "Before", "NP"),
       "NP"))</f>
        <v>NP</v>
      </c>
      <c r="K37" t="str">
        <f>IF(AND(A37 &gt;= 'Task - Upliftment'!$E$5, A37 &lt;= 'Task - Upliftment'!$F$5, OR(B37="Instagram", B37="Twitter")),
    "Present",
    IF(A37 &lt; 'Task - Upliftment'!$E$5,
       IF(OR(B37="Instagram", B37="Twitter"), "Before", "NP"),
       "NP"))</f>
        <v>NP</v>
      </c>
    </row>
    <row r="38" spans="1:11" x14ac:dyDescent="0.3">
      <c r="A38" s="27" t="s">
        <v>501</v>
      </c>
      <c r="B38" s="5" t="s">
        <v>33</v>
      </c>
      <c r="C38" s="5">
        <v>645</v>
      </c>
      <c r="D38" s="5">
        <v>293</v>
      </c>
      <c r="E38" s="5">
        <v>437968</v>
      </c>
      <c r="F38" s="5">
        <v>7.83</v>
      </c>
      <c r="G38" s="5">
        <v>49303</v>
      </c>
      <c r="H38" t="str">
        <f>IF(AND(A38 &gt;= 'Task - Upliftment'!$E$2, A38 &lt;= 'Task - Upliftment'!$F$2, OR(B38="Instagram", B38="Facebook")),
    "Present",
    IF(A38 &lt; 'Task - Upliftment'!$E$2,
       IF(OR(B38="Instagram", B38="Facebook"), "Before", "NP"),
       "NP"))</f>
        <v>NP</v>
      </c>
      <c r="I38" t="str">
        <f>IF(AND(A38 &gt;= 'Task - Upliftment'!$E$3, A38 &lt;= 'Task - Upliftment'!$F$3, OR(B38="Instagram", B38="YouTube")),
    "Present",
    IF(A38 &lt; 'Task - Upliftment'!$E$3,
       IF(OR(B38="Instagram", B38="YouTube"), "Before", "NP"),
       "NP"))</f>
        <v>Before</v>
      </c>
      <c r="J38" t="str">
        <f>IF(AND(A38 &gt;= 'Task - Upliftment'!$E$4, A38 &lt;= 'Task - Upliftment'!$F$4, OR(B38="Facebook", B38="Twitter")),
    "Present",
    IF(A38 &lt; 'Task - Upliftment'!$E$4,
       IF(OR(B38="Facebook", B38="Twitter"), "Before", "NP"),
       "NP"))</f>
        <v>NP</v>
      </c>
      <c r="K38" t="str">
        <f>IF(AND(A38 &gt;= 'Task - Upliftment'!$E$5, A38 &lt;= 'Task - Upliftment'!$F$5, OR(B38="Instagram", B38="Twitter")),
    "Present",
    IF(A38 &lt; 'Task - Upliftment'!$E$5,
       IF(OR(B38="Instagram", B38="Twitter"), "Before", "NP"),
       "NP"))</f>
        <v>Before</v>
      </c>
    </row>
    <row r="39" spans="1:11" x14ac:dyDescent="0.3">
      <c r="A39" s="27" t="s">
        <v>501</v>
      </c>
      <c r="B39" s="5" t="s">
        <v>43</v>
      </c>
      <c r="C39" s="5">
        <v>214</v>
      </c>
      <c r="D39" s="5">
        <v>411</v>
      </c>
      <c r="E39" s="5">
        <v>125034</v>
      </c>
      <c r="F39" s="5">
        <v>6.11</v>
      </c>
      <c r="G39" s="5">
        <v>26455</v>
      </c>
      <c r="H39" t="str">
        <f>IF(AND(A39 &gt;= 'Task - Upliftment'!$E$2, A39 &lt;= 'Task - Upliftment'!$F$2, OR(B39="Instagram", B39="Facebook")),
    "Present",
    IF(A39 &lt; 'Task - Upliftment'!$E$2,
       IF(OR(B39="Instagram", B39="Facebook"), "Before", "NP"),
       "NP"))</f>
        <v>NP</v>
      </c>
      <c r="I39" t="str">
        <f>IF(AND(A39 &gt;= 'Task - Upliftment'!$E$3, A39 &lt;= 'Task - Upliftment'!$F$3, OR(B39="Instagram", B39="YouTube")),
    "Present",
    IF(A39 &lt; 'Task - Upliftment'!$E$3,
       IF(OR(B39="Instagram", B39="YouTube"), "Before", "NP"),
       "NP"))</f>
        <v>NP</v>
      </c>
      <c r="J39" t="str">
        <f>IF(AND(A39 &gt;= 'Task - Upliftment'!$E$4, A39 &lt;= 'Task - Upliftment'!$F$4, OR(B39="Facebook", B39="Twitter")),
    "Present",
    IF(A39 &lt; 'Task - Upliftment'!$E$4,
       IF(OR(B39="Facebook", B39="Twitter"), "Before", "NP"),
       "NP"))</f>
        <v>Before</v>
      </c>
      <c r="K39" t="str">
        <f>IF(AND(A39 &gt;= 'Task - Upliftment'!$E$5, A39 &lt;= 'Task - Upliftment'!$F$5, OR(B39="Instagram", B39="Twitter")),
    "Present",
    IF(A39 &lt; 'Task - Upliftment'!$E$5,
       IF(OR(B39="Instagram", B39="Twitter"), "Before", "NP"),
       "NP"))</f>
        <v>NP</v>
      </c>
    </row>
    <row r="40" spans="1:11" x14ac:dyDescent="0.3">
      <c r="A40" s="27" t="s">
        <v>501</v>
      </c>
      <c r="B40" s="5" t="s">
        <v>14</v>
      </c>
      <c r="C40" s="5">
        <v>826</v>
      </c>
      <c r="D40" s="5">
        <v>498</v>
      </c>
      <c r="E40" s="5">
        <v>449994</v>
      </c>
      <c r="F40" s="5">
        <v>9.43</v>
      </c>
      <c r="G40" s="5">
        <v>12384</v>
      </c>
      <c r="H40" t="str">
        <f>IF(AND(A40 &gt;= 'Task - Upliftment'!$E$2, A40 &lt;= 'Task - Upliftment'!$F$2, OR(B40="Instagram", B40="Facebook")),
    "Present",
    IF(A40 &lt; 'Task - Upliftment'!$E$2,
       IF(OR(B40="Instagram", B40="Facebook"), "Before", "NP"),
       "NP"))</f>
        <v>NP</v>
      </c>
      <c r="I40" t="str">
        <f>IF(AND(A40 &gt;= 'Task - Upliftment'!$E$3, A40 &lt;= 'Task - Upliftment'!$F$3, OR(B40="Instagram", B40="YouTube")),
    "Present",
    IF(A40 &lt; 'Task - Upliftment'!$E$3,
       IF(OR(B40="Instagram", B40="YouTube"), "Before", "NP"),
       "NP"))</f>
        <v>NP</v>
      </c>
      <c r="J40" t="str">
        <f>IF(AND(A40 &gt;= 'Task - Upliftment'!$E$4, A40 &lt;= 'Task - Upliftment'!$F$4, OR(B40="Facebook", B40="Twitter")),
    "Present",
    IF(A40 &lt; 'Task - Upliftment'!$E$4,
       IF(OR(B40="Facebook", B40="Twitter"), "Before", "NP"),
       "NP"))</f>
        <v>Before</v>
      </c>
      <c r="K40" t="str">
        <f>IF(AND(A40 &gt;= 'Task - Upliftment'!$E$5, A40 &lt;= 'Task - Upliftment'!$F$5, OR(B40="Instagram", B40="Twitter")),
    "Present",
    IF(A40 &lt; 'Task - Upliftment'!$E$5,
       IF(OR(B40="Instagram", B40="Twitter"), "Before", "NP"),
       "NP"))</f>
        <v>Before</v>
      </c>
    </row>
    <row r="41" spans="1:11" x14ac:dyDescent="0.3">
      <c r="A41" s="27" t="s">
        <v>501</v>
      </c>
      <c r="B41" s="5" t="s">
        <v>27</v>
      </c>
      <c r="C41" s="5">
        <v>460</v>
      </c>
      <c r="D41" s="5">
        <v>141</v>
      </c>
      <c r="E41" s="5">
        <v>320650</v>
      </c>
      <c r="F41" s="5">
        <v>4.04</v>
      </c>
      <c r="G41" s="5">
        <v>49372</v>
      </c>
      <c r="H41" t="str">
        <f>IF(AND(A41 &gt;= 'Task - Upliftment'!$E$2, A41 &lt;= 'Task - Upliftment'!$F$2, OR(B41="Instagram", B41="Facebook")),
    "Present",
    IF(A41 &lt; 'Task - Upliftment'!$E$2,
       IF(OR(B41="Instagram", B41="Facebook"), "Before", "NP"),
       "NP"))</f>
        <v>NP</v>
      </c>
      <c r="I41" t="str">
        <f>IF(AND(A41 &gt;= 'Task - Upliftment'!$E$3, A41 &lt;= 'Task - Upliftment'!$F$3, OR(B41="Instagram", B41="YouTube")),
    "Present",
    IF(A41 &lt; 'Task - Upliftment'!$E$3,
       IF(OR(B41="Instagram", B41="YouTube"), "Before", "NP"),
       "NP"))</f>
        <v>Before</v>
      </c>
      <c r="J41" t="str">
        <f>IF(AND(A41 &gt;= 'Task - Upliftment'!$E$4, A41 &lt;= 'Task - Upliftment'!$F$4, OR(B41="Facebook", B41="Twitter")),
    "Present",
    IF(A41 &lt; 'Task - Upliftment'!$E$4,
       IF(OR(B41="Facebook", B41="Twitter"), "Before", "NP"),
       "NP"))</f>
        <v>NP</v>
      </c>
      <c r="K41" t="str">
        <f>IF(AND(A41 &gt;= 'Task - Upliftment'!$E$5, A41 &lt;= 'Task - Upliftment'!$F$5, OR(B41="Instagram", B41="Twitter")),
    "Present",
    IF(A41 &lt; 'Task - Upliftment'!$E$5,
       IF(OR(B41="Instagram", B41="Twitter"), "Before", "NP"),
       "NP"))</f>
        <v>NP</v>
      </c>
    </row>
    <row r="42" spans="1:11" x14ac:dyDescent="0.3">
      <c r="A42" s="27" t="s">
        <v>34</v>
      </c>
      <c r="B42" s="5" t="s">
        <v>33</v>
      </c>
      <c r="C42" s="5">
        <v>1528</v>
      </c>
      <c r="D42" s="5">
        <v>203</v>
      </c>
      <c r="E42" s="5">
        <v>489188</v>
      </c>
      <c r="F42" s="5">
        <v>6.23</v>
      </c>
      <c r="G42" s="5">
        <v>47101</v>
      </c>
      <c r="H42" t="str">
        <f>IF(AND(A42 &gt;= 'Task - Upliftment'!$E$2, A42 &lt;= 'Task - Upliftment'!$F$2, OR(B42="Instagram", B42="Facebook")),
    "Present",
    IF(A42 &lt; 'Task - Upliftment'!$E$2,
       IF(OR(B42="Instagram", B42="Facebook"), "Before", "NP"),
       "NP"))</f>
        <v>NP</v>
      </c>
      <c r="I42" t="str">
        <f>IF(AND(A42 &gt;= 'Task - Upliftment'!$E$3, A42 &lt;= 'Task - Upliftment'!$F$3, OR(B42="Instagram", B42="YouTube")),
    "Present",
    IF(A42 &lt; 'Task - Upliftment'!$E$3,
       IF(OR(B42="Instagram", B42="YouTube"), "Before", "NP"),
       "NP"))</f>
        <v>Before</v>
      </c>
      <c r="J42" t="str">
        <f>IF(AND(A42 &gt;= 'Task - Upliftment'!$E$4, A42 &lt;= 'Task - Upliftment'!$F$4, OR(B42="Facebook", B42="Twitter")),
    "Present",
    IF(A42 &lt; 'Task - Upliftment'!$E$4,
       IF(OR(B42="Facebook", B42="Twitter"), "Before", "NP"),
       "NP"))</f>
        <v>NP</v>
      </c>
      <c r="K42" t="str">
        <f>IF(AND(A42 &gt;= 'Task - Upliftment'!$E$5, A42 &lt;= 'Task - Upliftment'!$F$5, OR(B42="Instagram", B42="Twitter")),
    "Present",
    IF(A42 &lt; 'Task - Upliftment'!$E$5,
       IF(OR(B42="Instagram", B42="Twitter"), "Before", "NP"),
       "NP"))</f>
        <v>Before</v>
      </c>
    </row>
    <row r="43" spans="1:11" x14ac:dyDescent="0.3">
      <c r="A43" s="27" t="s">
        <v>34</v>
      </c>
      <c r="B43" s="5" t="s">
        <v>43</v>
      </c>
      <c r="C43" s="5">
        <v>1534</v>
      </c>
      <c r="D43" s="5">
        <v>200</v>
      </c>
      <c r="E43" s="5">
        <v>307612</v>
      </c>
      <c r="F43" s="5">
        <v>6.01</v>
      </c>
      <c r="G43" s="5">
        <v>37903</v>
      </c>
      <c r="H43" t="str">
        <f>IF(AND(A43 &gt;= 'Task - Upliftment'!$E$2, A43 &lt;= 'Task - Upliftment'!$F$2, OR(B43="Instagram", B43="Facebook")),
    "Present",
    IF(A43 &lt; 'Task - Upliftment'!$E$2,
       IF(OR(B43="Instagram", B43="Facebook"), "Before", "NP"),
       "NP"))</f>
        <v>NP</v>
      </c>
      <c r="I43" t="str">
        <f>IF(AND(A43 &gt;= 'Task - Upliftment'!$E$3, A43 &lt;= 'Task - Upliftment'!$F$3, OR(B43="Instagram", B43="YouTube")),
    "Present",
    IF(A43 &lt; 'Task - Upliftment'!$E$3,
       IF(OR(B43="Instagram", B43="YouTube"), "Before", "NP"),
       "NP"))</f>
        <v>NP</v>
      </c>
      <c r="J43" t="str">
        <f>IF(AND(A43 &gt;= 'Task - Upliftment'!$E$4, A43 &lt;= 'Task - Upliftment'!$F$4, OR(B43="Facebook", B43="Twitter")),
    "Present",
    IF(A43 &lt; 'Task - Upliftment'!$E$4,
       IF(OR(B43="Facebook", B43="Twitter"), "Before", "NP"),
       "NP"))</f>
        <v>Before</v>
      </c>
      <c r="K43" t="str">
        <f>IF(AND(A43 &gt;= 'Task - Upliftment'!$E$5, A43 &lt;= 'Task - Upliftment'!$F$5, OR(B43="Instagram", B43="Twitter")),
    "Present",
    IF(A43 &lt; 'Task - Upliftment'!$E$5,
       IF(OR(B43="Instagram", B43="Twitter"), "Before", "NP"),
       "NP"))</f>
        <v>NP</v>
      </c>
    </row>
    <row r="44" spans="1:11" x14ac:dyDescent="0.3">
      <c r="A44" s="27" t="s">
        <v>34</v>
      </c>
      <c r="B44" s="5" t="s">
        <v>14</v>
      </c>
      <c r="C44" s="5">
        <v>485</v>
      </c>
      <c r="D44" s="5">
        <v>448</v>
      </c>
      <c r="E44" s="5">
        <v>434883</v>
      </c>
      <c r="F44" s="5">
        <v>8.5500000000000007</v>
      </c>
      <c r="G44" s="5">
        <v>33258</v>
      </c>
      <c r="H44" t="str">
        <f>IF(AND(A44 &gt;= 'Task - Upliftment'!$E$2, A44 &lt;= 'Task - Upliftment'!$F$2, OR(B44="Instagram", B44="Facebook")),
    "Present",
    IF(A44 &lt; 'Task - Upliftment'!$E$2,
       IF(OR(B44="Instagram", B44="Facebook"), "Before", "NP"),
       "NP"))</f>
        <v>NP</v>
      </c>
      <c r="I44" t="str">
        <f>IF(AND(A44 &gt;= 'Task - Upliftment'!$E$3, A44 &lt;= 'Task - Upliftment'!$F$3, OR(B44="Instagram", B44="YouTube")),
    "Present",
    IF(A44 &lt; 'Task - Upliftment'!$E$3,
       IF(OR(B44="Instagram", B44="YouTube"), "Before", "NP"),
       "NP"))</f>
        <v>NP</v>
      </c>
      <c r="J44" t="str">
        <f>IF(AND(A44 &gt;= 'Task - Upliftment'!$E$4, A44 &lt;= 'Task - Upliftment'!$F$4, OR(B44="Facebook", B44="Twitter")),
    "Present",
    IF(A44 &lt; 'Task - Upliftment'!$E$4,
       IF(OR(B44="Facebook", B44="Twitter"), "Before", "NP"),
       "NP"))</f>
        <v>Before</v>
      </c>
      <c r="K44" t="str">
        <f>IF(AND(A44 &gt;= 'Task - Upliftment'!$E$5, A44 &lt;= 'Task - Upliftment'!$F$5, OR(B44="Instagram", B44="Twitter")),
    "Present",
    IF(A44 &lt; 'Task - Upliftment'!$E$5,
       IF(OR(B44="Instagram", B44="Twitter"), "Before", "NP"),
       "NP"))</f>
        <v>Before</v>
      </c>
    </row>
    <row r="45" spans="1:11" x14ac:dyDescent="0.3">
      <c r="A45" s="27" t="s">
        <v>34</v>
      </c>
      <c r="B45" s="5" t="s">
        <v>27</v>
      </c>
      <c r="C45" s="5">
        <v>1210</v>
      </c>
      <c r="D45" s="5">
        <v>178</v>
      </c>
      <c r="E45" s="5">
        <v>102042</v>
      </c>
      <c r="F45" s="5">
        <v>5.42</v>
      </c>
      <c r="G45" s="5">
        <v>6915</v>
      </c>
      <c r="H45" t="str">
        <f>IF(AND(A45 &gt;= 'Task - Upliftment'!$E$2, A45 &lt;= 'Task - Upliftment'!$F$2, OR(B45="Instagram", B45="Facebook")),
    "Present",
    IF(A45 &lt; 'Task - Upliftment'!$E$2,
       IF(OR(B45="Instagram", B45="Facebook"), "Before", "NP"),
       "NP"))</f>
        <v>NP</v>
      </c>
      <c r="I45" t="str">
        <f>IF(AND(A45 &gt;= 'Task - Upliftment'!$E$3, A45 &lt;= 'Task - Upliftment'!$F$3, OR(B45="Instagram", B45="YouTube")),
    "Present",
    IF(A45 &lt; 'Task - Upliftment'!$E$3,
       IF(OR(B45="Instagram", B45="YouTube"), "Before", "NP"),
       "NP"))</f>
        <v>Before</v>
      </c>
      <c r="J45" t="str">
        <f>IF(AND(A45 &gt;= 'Task - Upliftment'!$E$4, A45 &lt;= 'Task - Upliftment'!$F$4, OR(B45="Facebook", B45="Twitter")),
    "Present",
    IF(A45 &lt; 'Task - Upliftment'!$E$4,
       IF(OR(B45="Facebook", B45="Twitter"), "Before", "NP"),
       "NP"))</f>
        <v>NP</v>
      </c>
      <c r="K45" t="str">
        <f>IF(AND(A45 &gt;= 'Task - Upliftment'!$E$5, A45 &lt;= 'Task - Upliftment'!$F$5, OR(B45="Instagram", B45="Twitter")),
    "Present",
    IF(A45 &lt; 'Task - Upliftment'!$E$5,
       IF(OR(B45="Instagram", B45="Twitter"), "Before", "NP"),
       "NP"))</f>
        <v>NP</v>
      </c>
    </row>
    <row r="46" spans="1:11" x14ac:dyDescent="0.3">
      <c r="A46" s="27" t="s">
        <v>81</v>
      </c>
      <c r="B46" s="5" t="s">
        <v>33</v>
      </c>
      <c r="C46" s="5">
        <v>215</v>
      </c>
      <c r="D46" s="5">
        <v>139</v>
      </c>
      <c r="E46" s="5">
        <v>325444</v>
      </c>
      <c r="F46" s="5">
        <v>3.25</v>
      </c>
      <c r="G46" s="5">
        <v>35501</v>
      </c>
      <c r="H46" t="str">
        <f>IF(AND(A46 &gt;= 'Task - Upliftment'!$E$2, A46 &lt;= 'Task - Upliftment'!$F$2, OR(B46="Instagram", B46="Facebook")),
    "Present",
    IF(A46 &lt; 'Task - Upliftment'!$E$2,
       IF(OR(B46="Instagram", B46="Facebook"), "Before", "NP"),
       "NP"))</f>
        <v>NP</v>
      </c>
      <c r="I46" t="str">
        <f>IF(AND(A46 &gt;= 'Task - Upliftment'!$E$3, A46 &lt;= 'Task - Upliftment'!$F$3, OR(B46="Instagram", B46="YouTube")),
    "Present",
    IF(A46 &lt; 'Task - Upliftment'!$E$3,
       IF(OR(B46="Instagram", B46="YouTube"), "Before", "NP"),
       "NP"))</f>
        <v>Before</v>
      </c>
      <c r="J46" t="str">
        <f>IF(AND(A46 &gt;= 'Task - Upliftment'!$E$4, A46 &lt;= 'Task - Upliftment'!$F$4, OR(B46="Facebook", B46="Twitter")),
    "Present",
    IF(A46 &lt; 'Task - Upliftment'!$E$4,
       IF(OR(B46="Facebook", B46="Twitter"), "Before", "NP"),
       "NP"))</f>
        <v>NP</v>
      </c>
      <c r="K46" t="str">
        <f>IF(AND(A46 &gt;= 'Task - Upliftment'!$E$5, A46 &lt;= 'Task - Upliftment'!$F$5, OR(B46="Instagram", B46="Twitter")),
    "Present",
    IF(A46 &lt; 'Task - Upliftment'!$E$5,
       IF(OR(B46="Instagram", B46="Twitter"), "Before", "NP"),
       "NP"))</f>
        <v>Before</v>
      </c>
    </row>
    <row r="47" spans="1:11" x14ac:dyDescent="0.3">
      <c r="A47" s="27" t="s">
        <v>81</v>
      </c>
      <c r="B47" s="5" t="s">
        <v>43</v>
      </c>
      <c r="C47" s="5">
        <v>1078</v>
      </c>
      <c r="D47" s="5">
        <v>20</v>
      </c>
      <c r="E47" s="5">
        <v>183924</v>
      </c>
      <c r="F47" s="5">
        <v>8.84</v>
      </c>
      <c r="G47" s="5">
        <v>14203</v>
      </c>
      <c r="H47" t="str">
        <f>IF(AND(A47 &gt;= 'Task - Upliftment'!$E$2, A47 &lt;= 'Task - Upliftment'!$F$2, OR(B47="Instagram", B47="Facebook")),
    "Present",
    IF(A47 &lt; 'Task - Upliftment'!$E$2,
       IF(OR(B47="Instagram", B47="Facebook"), "Before", "NP"),
       "NP"))</f>
        <v>NP</v>
      </c>
      <c r="I47" t="str">
        <f>IF(AND(A47 &gt;= 'Task - Upliftment'!$E$3, A47 &lt;= 'Task - Upliftment'!$F$3, OR(B47="Instagram", B47="YouTube")),
    "Present",
    IF(A47 &lt; 'Task - Upliftment'!$E$3,
       IF(OR(B47="Instagram", B47="YouTube"), "Before", "NP"),
       "NP"))</f>
        <v>NP</v>
      </c>
      <c r="J47" t="str">
        <f>IF(AND(A47 &gt;= 'Task - Upliftment'!$E$4, A47 &lt;= 'Task - Upliftment'!$F$4, OR(B47="Facebook", B47="Twitter")),
    "Present",
    IF(A47 &lt; 'Task - Upliftment'!$E$4,
       IF(OR(B47="Facebook", B47="Twitter"), "Before", "NP"),
       "NP"))</f>
        <v>Before</v>
      </c>
      <c r="K47" t="str">
        <f>IF(AND(A47 &gt;= 'Task - Upliftment'!$E$5, A47 &lt;= 'Task - Upliftment'!$F$5, OR(B47="Instagram", B47="Twitter")),
    "Present",
    IF(A47 &lt; 'Task - Upliftment'!$E$5,
       IF(OR(B47="Instagram", B47="Twitter"), "Before", "NP"),
       "NP"))</f>
        <v>NP</v>
      </c>
    </row>
    <row r="48" spans="1:11" x14ac:dyDescent="0.3">
      <c r="A48" s="27" t="s">
        <v>81</v>
      </c>
      <c r="B48" s="5" t="s">
        <v>14</v>
      </c>
      <c r="C48" s="5">
        <v>1751</v>
      </c>
      <c r="D48" s="5">
        <v>86</v>
      </c>
      <c r="E48" s="5">
        <v>188655</v>
      </c>
      <c r="F48" s="5">
        <v>7.24</v>
      </c>
      <c r="G48" s="5">
        <v>22206</v>
      </c>
      <c r="H48" t="str">
        <f>IF(AND(A48 &gt;= 'Task - Upliftment'!$E$2, A48 &lt;= 'Task - Upliftment'!$F$2, OR(B48="Instagram", B48="Facebook")),
    "Present",
    IF(A48 &lt; 'Task - Upliftment'!$E$2,
       IF(OR(B48="Instagram", B48="Facebook"), "Before", "NP"),
       "NP"))</f>
        <v>NP</v>
      </c>
      <c r="I48" t="str">
        <f>IF(AND(A48 &gt;= 'Task - Upliftment'!$E$3, A48 &lt;= 'Task - Upliftment'!$F$3, OR(B48="Instagram", B48="YouTube")),
    "Present",
    IF(A48 &lt; 'Task - Upliftment'!$E$3,
       IF(OR(B48="Instagram", B48="YouTube"), "Before", "NP"),
       "NP"))</f>
        <v>NP</v>
      </c>
      <c r="J48" t="str">
        <f>IF(AND(A48 &gt;= 'Task - Upliftment'!$E$4, A48 &lt;= 'Task - Upliftment'!$F$4, OR(B48="Facebook", B48="Twitter")),
    "Present",
    IF(A48 &lt; 'Task - Upliftment'!$E$4,
       IF(OR(B48="Facebook", B48="Twitter"), "Before", "NP"),
       "NP"))</f>
        <v>Before</v>
      </c>
      <c r="K48" t="str">
        <f>IF(AND(A48 &gt;= 'Task - Upliftment'!$E$5, A48 &lt;= 'Task - Upliftment'!$F$5, OR(B48="Instagram", B48="Twitter")),
    "Present",
    IF(A48 &lt; 'Task - Upliftment'!$E$5,
       IF(OR(B48="Instagram", B48="Twitter"), "Before", "NP"),
       "NP"))</f>
        <v>Before</v>
      </c>
    </row>
    <row r="49" spans="1:11" x14ac:dyDescent="0.3">
      <c r="A49" s="27" t="s">
        <v>81</v>
      </c>
      <c r="B49" s="5" t="s">
        <v>27</v>
      </c>
      <c r="C49" s="5">
        <v>221</v>
      </c>
      <c r="D49" s="5">
        <v>31</v>
      </c>
      <c r="E49" s="5">
        <v>87443</v>
      </c>
      <c r="F49" s="5">
        <v>6.19</v>
      </c>
      <c r="G49" s="5">
        <v>10283</v>
      </c>
      <c r="H49" t="str">
        <f>IF(AND(A49 &gt;= 'Task - Upliftment'!$E$2, A49 &lt;= 'Task - Upliftment'!$F$2, OR(B49="Instagram", B49="Facebook")),
    "Present",
    IF(A49 &lt; 'Task - Upliftment'!$E$2,
       IF(OR(B49="Instagram", B49="Facebook"), "Before", "NP"),
       "NP"))</f>
        <v>NP</v>
      </c>
      <c r="I49" t="str">
        <f>IF(AND(A49 &gt;= 'Task - Upliftment'!$E$3, A49 &lt;= 'Task - Upliftment'!$F$3, OR(B49="Instagram", B49="YouTube")),
    "Present",
    IF(A49 &lt; 'Task - Upliftment'!$E$3,
       IF(OR(B49="Instagram", B49="YouTube"), "Before", "NP"),
       "NP"))</f>
        <v>Before</v>
      </c>
      <c r="J49" t="str">
        <f>IF(AND(A49 &gt;= 'Task - Upliftment'!$E$4, A49 &lt;= 'Task - Upliftment'!$F$4, OR(B49="Facebook", B49="Twitter")),
    "Present",
    IF(A49 &lt; 'Task - Upliftment'!$E$4,
       IF(OR(B49="Facebook", B49="Twitter"), "Before", "NP"),
       "NP"))</f>
        <v>NP</v>
      </c>
      <c r="K49" t="str">
        <f>IF(AND(A49 &gt;= 'Task - Upliftment'!$E$5, A49 &lt;= 'Task - Upliftment'!$F$5, OR(B49="Instagram", B49="Twitter")),
    "Present",
    IF(A49 &lt; 'Task - Upliftment'!$E$5,
       IF(OR(B49="Instagram", B49="Twitter"), "Before", "NP"),
       "NP"))</f>
        <v>NP</v>
      </c>
    </row>
    <row r="50" spans="1:11" x14ac:dyDescent="0.3">
      <c r="A50" s="27" t="s">
        <v>77</v>
      </c>
      <c r="B50" s="5" t="s">
        <v>33</v>
      </c>
      <c r="C50" s="5">
        <v>1685</v>
      </c>
      <c r="D50" s="5">
        <v>76</v>
      </c>
      <c r="E50" s="5">
        <v>453799</v>
      </c>
      <c r="F50" s="5">
        <v>5.71</v>
      </c>
      <c r="G50" s="5">
        <v>24913</v>
      </c>
      <c r="H50" t="str">
        <f>IF(AND(A50 &gt;= 'Task - Upliftment'!$E$2, A50 &lt;= 'Task - Upliftment'!$F$2, OR(B50="Instagram", B50="Facebook")),
    "Present",
    IF(A50 &lt; 'Task - Upliftment'!$E$2,
       IF(OR(B50="Instagram", B50="Facebook"), "Before", "NP"),
       "NP"))</f>
        <v>NP</v>
      </c>
      <c r="I50" t="str">
        <f>IF(AND(A50 &gt;= 'Task - Upliftment'!$E$3, A50 &lt;= 'Task - Upliftment'!$F$3, OR(B50="Instagram", B50="YouTube")),
    "Present",
    IF(A50 &lt; 'Task - Upliftment'!$E$3,
       IF(OR(B50="Instagram", B50="YouTube"), "Before", "NP"),
       "NP"))</f>
        <v>Before</v>
      </c>
      <c r="J50" t="str">
        <f>IF(AND(A50 &gt;= 'Task - Upliftment'!$E$4, A50 &lt;= 'Task - Upliftment'!$F$4, OR(B50="Facebook", B50="Twitter")),
    "Present",
    IF(A50 &lt; 'Task - Upliftment'!$E$4,
       IF(OR(B50="Facebook", B50="Twitter"), "Before", "NP"),
       "NP"))</f>
        <v>NP</v>
      </c>
      <c r="K50" t="str">
        <f>IF(AND(A50 &gt;= 'Task - Upliftment'!$E$5, A50 &lt;= 'Task - Upliftment'!$F$5, OR(B50="Instagram", B50="Twitter")),
    "Present",
    IF(A50 &lt; 'Task - Upliftment'!$E$5,
       IF(OR(B50="Instagram", B50="Twitter"), "Before", "NP"),
       "NP"))</f>
        <v>Before</v>
      </c>
    </row>
    <row r="51" spans="1:11" x14ac:dyDescent="0.3">
      <c r="A51" s="27" t="s">
        <v>77</v>
      </c>
      <c r="B51" s="5" t="s">
        <v>43</v>
      </c>
      <c r="C51" s="5">
        <v>248</v>
      </c>
      <c r="D51" s="5">
        <v>211</v>
      </c>
      <c r="E51" s="5">
        <v>379380</v>
      </c>
      <c r="F51" s="5">
        <v>9.0399999999999991</v>
      </c>
      <c r="G51" s="5">
        <v>26925</v>
      </c>
      <c r="H51" t="str">
        <f>IF(AND(A51 &gt;= 'Task - Upliftment'!$E$2, A51 &lt;= 'Task - Upliftment'!$F$2, OR(B51="Instagram", B51="Facebook")),
    "Present",
    IF(A51 &lt; 'Task - Upliftment'!$E$2,
       IF(OR(B51="Instagram", B51="Facebook"), "Before", "NP"),
       "NP"))</f>
        <v>NP</v>
      </c>
      <c r="I51" t="str">
        <f>IF(AND(A51 &gt;= 'Task - Upliftment'!$E$3, A51 &lt;= 'Task - Upliftment'!$F$3, OR(B51="Instagram", B51="YouTube")),
    "Present",
    IF(A51 &lt; 'Task - Upliftment'!$E$3,
       IF(OR(B51="Instagram", B51="YouTube"), "Before", "NP"),
       "NP"))</f>
        <v>NP</v>
      </c>
      <c r="J51" t="str">
        <f>IF(AND(A51 &gt;= 'Task - Upliftment'!$E$4, A51 &lt;= 'Task - Upliftment'!$F$4, OR(B51="Facebook", B51="Twitter")),
    "Present",
    IF(A51 &lt; 'Task - Upliftment'!$E$4,
       IF(OR(B51="Facebook", B51="Twitter"), "Before", "NP"),
       "NP"))</f>
        <v>Before</v>
      </c>
      <c r="K51" t="str">
        <f>IF(AND(A51 &gt;= 'Task - Upliftment'!$E$5, A51 &lt;= 'Task - Upliftment'!$F$5, OR(B51="Instagram", B51="Twitter")),
    "Present",
    IF(A51 &lt; 'Task - Upliftment'!$E$5,
       IF(OR(B51="Instagram", B51="Twitter"), "Before", "NP"),
       "NP"))</f>
        <v>NP</v>
      </c>
    </row>
    <row r="52" spans="1:11" x14ac:dyDescent="0.3">
      <c r="A52" s="27" t="s">
        <v>77</v>
      </c>
      <c r="B52" s="5" t="s">
        <v>14</v>
      </c>
      <c r="C52" s="5">
        <v>1300</v>
      </c>
      <c r="D52" s="5">
        <v>71</v>
      </c>
      <c r="E52" s="5">
        <v>186454</v>
      </c>
      <c r="F52" s="5">
        <v>3.91</v>
      </c>
      <c r="G52" s="5">
        <v>9942</v>
      </c>
      <c r="H52" t="str">
        <f>IF(AND(A52 &gt;= 'Task - Upliftment'!$E$2, A52 &lt;= 'Task - Upliftment'!$F$2, OR(B52="Instagram", B52="Facebook")),
    "Present",
    IF(A52 &lt; 'Task - Upliftment'!$E$2,
       IF(OR(B52="Instagram", B52="Facebook"), "Before", "NP"),
       "NP"))</f>
        <v>NP</v>
      </c>
      <c r="I52" t="str">
        <f>IF(AND(A52 &gt;= 'Task - Upliftment'!$E$3, A52 &lt;= 'Task - Upliftment'!$F$3, OR(B52="Instagram", B52="YouTube")),
    "Present",
    IF(A52 &lt; 'Task - Upliftment'!$E$3,
       IF(OR(B52="Instagram", B52="YouTube"), "Before", "NP"),
       "NP"))</f>
        <v>NP</v>
      </c>
      <c r="J52" t="str">
        <f>IF(AND(A52 &gt;= 'Task - Upliftment'!$E$4, A52 &lt;= 'Task - Upliftment'!$F$4, OR(B52="Facebook", B52="Twitter")),
    "Present",
    IF(A52 &lt; 'Task - Upliftment'!$E$4,
       IF(OR(B52="Facebook", B52="Twitter"), "Before", "NP"),
       "NP"))</f>
        <v>Before</v>
      </c>
      <c r="K52" t="str">
        <f>IF(AND(A52 &gt;= 'Task - Upliftment'!$E$5, A52 &lt;= 'Task - Upliftment'!$F$5, OR(B52="Instagram", B52="Twitter")),
    "Present",
    IF(A52 &lt; 'Task - Upliftment'!$E$5,
       IF(OR(B52="Instagram", B52="Twitter"), "Before", "NP"),
       "NP"))</f>
        <v>Before</v>
      </c>
    </row>
    <row r="53" spans="1:11" x14ac:dyDescent="0.3">
      <c r="A53" s="27" t="s">
        <v>77</v>
      </c>
      <c r="B53" s="5" t="s">
        <v>27</v>
      </c>
      <c r="C53" s="5">
        <v>422</v>
      </c>
      <c r="D53" s="5">
        <v>394</v>
      </c>
      <c r="E53" s="5">
        <v>239044</v>
      </c>
      <c r="F53" s="5">
        <v>7.83</v>
      </c>
      <c r="G53" s="5">
        <v>32929</v>
      </c>
      <c r="H53" t="str">
        <f>IF(AND(A53 &gt;= 'Task - Upliftment'!$E$2, A53 &lt;= 'Task - Upliftment'!$F$2, OR(B53="Instagram", B53="Facebook")),
    "Present",
    IF(A53 &lt; 'Task - Upliftment'!$E$2,
       IF(OR(B53="Instagram", B53="Facebook"), "Before", "NP"),
       "NP"))</f>
        <v>NP</v>
      </c>
      <c r="I53" t="str">
        <f>IF(AND(A53 &gt;= 'Task - Upliftment'!$E$3, A53 &lt;= 'Task - Upliftment'!$F$3, OR(B53="Instagram", B53="YouTube")),
    "Present",
    IF(A53 &lt; 'Task - Upliftment'!$E$3,
       IF(OR(B53="Instagram", B53="YouTube"), "Before", "NP"),
       "NP"))</f>
        <v>Before</v>
      </c>
      <c r="J53" t="str">
        <f>IF(AND(A53 &gt;= 'Task - Upliftment'!$E$4, A53 &lt;= 'Task - Upliftment'!$F$4, OR(B53="Facebook", B53="Twitter")),
    "Present",
    IF(A53 &lt; 'Task - Upliftment'!$E$4,
       IF(OR(B53="Facebook", B53="Twitter"), "Before", "NP"),
       "NP"))</f>
        <v>NP</v>
      </c>
      <c r="K53" t="str">
        <f>IF(AND(A53 &gt;= 'Task - Upliftment'!$E$5, A53 &lt;= 'Task - Upliftment'!$F$5, OR(B53="Instagram", B53="Twitter")),
    "Present",
    IF(A53 &lt; 'Task - Upliftment'!$E$5,
       IF(OR(B53="Instagram", B53="Twitter"), "Before", "NP"),
       "NP"))</f>
        <v>NP</v>
      </c>
    </row>
    <row r="54" spans="1:11" x14ac:dyDescent="0.3">
      <c r="A54" s="27" t="s">
        <v>195</v>
      </c>
      <c r="B54" s="5" t="s">
        <v>33</v>
      </c>
      <c r="C54" s="5">
        <v>1429</v>
      </c>
      <c r="D54" s="5">
        <v>182</v>
      </c>
      <c r="E54" s="5">
        <v>101332</v>
      </c>
      <c r="F54" s="5">
        <v>7.16</v>
      </c>
      <c r="G54" s="5">
        <v>37829</v>
      </c>
      <c r="H54" t="str">
        <f>IF(AND(A54 &gt;= 'Task - Upliftment'!$E$2, A54 &lt;= 'Task - Upliftment'!$F$2, OR(B54="Instagram", B54="Facebook")),
    "Present",
    IF(A54 &lt; 'Task - Upliftment'!$E$2,
       IF(OR(B54="Instagram", B54="Facebook"), "Before", "NP"),
       "NP"))</f>
        <v>NP</v>
      </c>
      <c r="I54" t="str">
        <f>IF(AND(A54 &gt;= 'Task - Upliftment'!$E$3, A54 &lt;= 'Task - Upliftment'!$F$3, OR(B54="Instagram", B54="YouTube")),
    "Present",
    IF(A54 &lt; 'Task - Upliftment'!$E$3,
       IF(OR(B54="Instagram", B54="YouTube"), "Before", "NP"),
       "NP"))</f>
        <v>Before</v>
      </c>
      <c r="J54" t="str">
        <f>IF(AND(A54 &gt;= 'Task - Upliftment'!$E$4, A54 &lt;= 'Task - Upliftment'!$F$4, OR(B54="Facebook", B54="Twitter")),
    "Present",
    IF(A54 &lt; 'Task - Upliftment'!$E$4,
       IF(OR(B54="Facebook", B54="Twitter"), "Before", "NP"),
       "NP"))</f>
        <v>NP</v>
      </c>
      <c r="K54" t="str">
        <f>IF(AND(A54 &gt;= 'Task - Upliftment'!$E$5, A54 &lt;= 'Task - Upliftment'!$F$5, OR(B54="Instagram", B54="Twitter")),
    "Present",
    IF(A54 &lt; 'Task - Upliftment'!$E$5,
       IF(OR(B54="Instagram", B54="Twitter"), "Before", "NP"),
       "NP"))</f>
        <v>Before</v>
      </c>
    </row>
    <row r="55" spans="1:11" x14ac:dyDescent="0.3">
      <c r="A55" s="27" t="s">
        <v>195</v>
      </c>
      <c r="B55" s="5" t="s">
        <v>43</v>
      </c>
      <c r="C55" s="5">
        <v>1520</v>
      </c>
      <c r="D55" s="5">
        <v>475</v>
      </c>
      <c r="E55" s="5">
        <v>496982</v>
      </c>
      <c r="F55" s="5">
        <v>6.41</v>
      </c>
      <c r="G55" s="5">
        <v>24384</v>
      </c>
      <c r="H55" t="str">
        <f>IF(AND(A55 &gt;= 'Task - Upliftment'!$E$2, A55 &lt;= 'Task - Upliftment'!$F$2, OR(B55="Instagram", B55="Facebook")),
    "Present",
    IF(A55 &lt; 'Task - Upliftment'!$E$2,
       IF(OR(B55="Instagram", B55="Facebook"), "Before", "NP"),
       "NP"))</f>
        <v>NP</v>
      </c>
      <c r="I55" t="str">
        <f>IF(AND(A55 &gt;= 'Task - Upliftment'!$E$3, A55 &lt;= 'Task - Upliftment'!$F$3, OR(B55="Instagram", B55="YouTube")),
    "Present",
    IF(A55 &lt; 'Task - Upliftment'!$E$3,
       IF(OR(B55="Instagram", B55="YouTube"), "Before", "NP"),
       "NP"))</f>
        <v>NP</v>
      </c>
      <c r="J55" t="str">
        <f>IF(AND(A55 &gt;= 'Task - Upliftment'!$E$4, A55 &lt;= 'Task - Upliftment'!$F$4, OR(B55="Facebook", B55="Twitter")),
    "Present",
    IF(A55 &lt; 'Task - Upliftment'!$E$4,
       IF(OR(B55="Facebook", B55="Twitter"), "Before", "NP"),
       "NP"))</f>
        <v>Before</v>
      </c>
      <c r="K55" t="str">
        <f>IF(AND(A55 &gt;= 'Task - Upliftment'!$E$5, A55 &lt;= 'Task - Upliftment'!$F$5, OR(B55="Instagram", B55="Twitter")),
    "Present",
    IF(A55 &lt; 'Task - Upliftment'!$E$5,
       IF(OR(B55="Instagram", B55="Twitter"), "Before", "NP"),
       "NP"))</f>
        <v>NP</v>
      </c>
    </row>
    <row r="56" spans="1:11" x14ac:dyDescent="0.3">
      <c r="A56" s="27" t="s">
        <v>195</v>
      </c>
      <c r="B56" s="5" t="s">
        <v>14</v>
      </c>
      <c r="C56" s="5">
        <v>557</v>
      </c>
      <c r="D56" s="5">
        <v>360</v>
      </c>
      <c r="E56" s="5">
        <v>318779</v>
      </c>
      <c r="F56" s="5">
        <v>8.02</v>
      </c>
      <c r="G56" s="5">
        <v>25797</v>
      </c>
      <c r="H56" t="str">
        <f>IF(AND(A56 &gt;= 'Task - Upliftment'!$E$2, A56 &lt;= 'Task - Upliftment'!$F$2, OR(B56="Instagram", B56="Facebook")),
    "Present",
    IF(A56 &lt; 'Task - Upliftment'!$E$2,
       IF(OR(B56="Instagram", B56="Facebook"), "Before", "NP"),
       "NP"))</f>
        <v>NP</v>
      </c>
      <c r="I56" t="str">
        <f>IF(AND(A56 &gt;= 'Task - Upliftment'!$E$3, A56 &lt;= 'Task - Upliftment'!$F$3, OR(B56="Instagram", B56="YouTube")),
    "Present",
    IF(A56 &lt; 'Task - Upliftment'!$E$3,
       IF(OR(B56="Instagram", B56="YouTube"), "Before", "NP"),
       "NP"))</f>
        <v>NP</v>
      </c>
      <c r="J56" t="str">
        <f>IF(AND(A56 &gt;= 'Task - Upliftment'!$E$4, A56 &lt;= 'Task - Upliftment'!$F$4, OR(B56="Facebook", B56="Twitter")),
    "Present",
    IF(A56 &lt; 'Task - Upliftment'!$E$4,
       IF(OR(B56="Facebook", B56="Twitter"), "Before", "NP"),
       "NP"))</f>
        <v>Before</v>
      </c>
      <c r="K56" t="str">
        <f>IF(AND(A56 &gt;= 'Task - Upliftment'!$E$5, A56 &lt;= 'Task - Upliftment'!$F$5, OR(B56="Instagram", B56="Twitter")),
    "Present",
    IF(A56 &lt; 'Task - Upliftment'!$E$5,
       IF(OR(B56="Instagram", B56="Twitter"), "Before", "NP"),
       "NP"))</f>
        <v>Before</v>
      </c>
    </row>
    <row r="57" spans="1:11" x14ac:dyDescent="0.3">
      <c r="A57" s="27" t="s">
        <v>195</v>
      </c>
      <c r="B57" s="5" t="s">
        <v>27</v>
      </c>
      <c r="C57" s="5">
        <v>728</v>
      </c>
      <c r="D57" s="5">
        <v>395</v>
      </c>
      <c r="E57" s="5">
        <v>370971</v>
      </c>
      <c r="F57" s="5">
        <v>3.86</v>
      </c>
      <c r="G57" s="5">
        <v>12646</v>
      </c>
      <c r="H57" t="str">
        <f>IF(AND(A57 &gt;= 'Task - Upliftment'!$E$2, A57 &lt;= 'Task - Upliftment'!$F$2, OR(B57="Instagram", B57="Facebook")),
    "Present",
    IF(A57 &lt; 'Task - Upliftment'!$E$2,
       IF(OR(B57="Instagram", B57="Facebook"), "Before", "NP"),
       "NP"))</f>
        <v>NP</v>
      </c>
      <c r="I57" t="str">
        <f>IF(AND(A57 &gt;= 'Task - Upliftment'!$E$3, A57 &lt;= 'Task - Upliftment'!$F$3, OR(B57="Instagram", B57="YouTube")),
    "Present",
    IF(A57 &lt; 'Task - Upliftment'!$E$3,
       IF(OR(B57="Instagram", B57="YouTube"), "Before", "NP"),
       "NP"))</f>
        <v>Before</v>
      </c>
      <c r="J57" t="str">
        <f>IF(AND(A57 &gt;= 'Task - Upliftment'!$E$4, A57 &lt;= 'Task - Upliftment'!$F$4, OR(B57="Facebook", B57="Twitter")),
    "Present",
    IF(A57 &lt; 'Task - Upliftment'!$E$4,
       IF(OR(B57="Facebook", B57="Twitter"), "Before", "NP"),
       "NP"))</f>
        <v>NP</v>
      </c>
      <c r="K57" t="str">
        <f>IF(AND(A57 &gt;= 'Task - Upliftment'!$E$5, A57 &lt;= 'Task - Upliftment'!$F$5, OR(B57="Instagram", B57="Twitter")),
    "Present",
    IF(A57 &lt; 'Task - Upliftment'!$E$5,
       IF(OR(B57="Instagram", B57="Twitter"), "Before", "NP"),
       "NP"))</f>
        <v>NP</v>
      </c>
    </row>
    <row r="58" spans="1:11" x14ac:dyDescent="0.3">
      <c r="A58" s="27" t="s">
        <v>87</v>
      </c>
      <c r="B58" s="5" t="s">
        <v>33</v>
      </c>
      <c r="C58" s="5">
        <v>1592</v>
      </c>
      <c r="D58" s="5">
        <v>20</v>
      </c>
      <c r="E58" s="5">
        <v>378054</v>
      </c>
      <c r="F58" s="5">
        <v>9.09</v>
      </c>
      <c r="G58" s="5">
        <v>26663</v>
      </c>
      <c r="H58" t="str">
        <f>IF(AND(A58 &gt;= 'Task - Upliftment'!$E$2, A58 &lt;= 'Task - Upliftment'!$F$2, OR(B58="Instagram", B58="Facebook")),
    "Present",
    IF(A58 &lt; 'Task - Upliftment'!$E$2,
       IF(OR(B58="Instagram", B58="Facebook"), "Before", "NP"),
       "NP"))</f>
        <v>NP</v>
      </c>
      <c r="I58" t="str">
        <f>IF(AND(A58 &gt;= 'Task - Upliftment'!$E$3, A58 &lt;= 'Task - Upliftment'!$F$3, OR(B58="Instagram", B58="YouTube")),
    "Present",
    IF(A58 &lt; 'Task - Upliftment'!$E$3,
       IF(OR(B58="Instagram", B58="YouTube"), "Before", "NP"),
       "NP"))</f>
        <v>Before</v>
      </c>
      <c r="J58" t="str">
        <f>IF(AND(A58 &gt;= 'Task - Upliftment'!$E$4, A58 &lt;= 'Task - Upliftment'!$F$4, OR(B58="Facebook", B58="Twitter")),
    "Present",
    IF(A58 &lt; 'Task - Upliftment'!$E$4,
       IF(OR(B58="Facebook", B58="Twitter"), "Before", "NP"),
       "NP"))</f>
        <v>NP</v>
      </c>
      <c r="K58" t="str">
        <f>IF(AND(A58 &gt;= 'Task - Upliftment'!$E$5, A58 &lt;= 'Task - Upliftment'!$F$5, OR(B58="Instagram", B58="Twitter")),
    "Present",
    IF(A58 &lt; 'Task - Upliftment'!$E$5,
       IF(OR(B58="Instagram", B58="Twitter"), "Before", "NP"),
       "NP"))</f>
        <v>Before</v>
      </c>
    </row>
    <row r="59" spans="1:11" x14ac:dyDescent="0.3">
      <c r="A59" s="27" t="s">
        <v>87</v>
      </c>
      <c r="B59" s="5" t="s">
        <v>43</v>
      </c>
      <c r="C59" s="5">
        <v>1842</v>
      </c>
      <c r="D59" s="5">
        <v>414</v>
      </c>
      <c r="E59" s="5">
        <v>307524</v>
      </c>
      <c r="F59" s="5">
        <v>1.76</v>
      </c>
      <c r="G59" s="5">
        <v>40478</v>
      </c>
      <c r="H59" t="str">
        <f>IF(AND(A59 &gt;= 'Task - Upliftment'!$E$2, A59 &lt;= 'Task - Upliftment'!$F$2, OR(B59="Instagram", B59="Facebook")),
    "Present",
    IF(A59 &lt; 'Task - Upliftment'!$E$2,
       IF(OR(B59="Instagram", B59="Facebook"), "Before", "NP"),
       "NP"))</f>
        <v>NP</v>
      </c>
      <c r="I59" t="str">
        <f>IF(AND(A59 &gt;= 'Task - Upliftment'!$E$3, A59 &lt;= 'Task - Upliftment'!$F$3, OR(B59="Instagram", B59="YouTube")),
    "Present",
    IF(A59 &lt; 'Task - Upliftment'!$E$3,
       IF(OR(B59="Instagram", B59="YouTube"), "Before", "NP"),
       "NP"))</f>
        <v>NP</v>
      </c>
      <c r="J59" t="str">
        <f>IF(AND(A59 &gt;= 'Task - Upliftment'!$E$4, A59 &lt;= 'Task - Upliftment'!$F$4, OR(B59="Facebook", B59="Twitter")),
    "Present",
    IF(A59 &lt; 'Task - Upliftment'!$E$4,
       IF(OR(B59="Facebook", B59="Twitter"), "Before", "NP"),
       "NP"))</f>
        <v>Before</v>
      </c>
      <c r="K59" t="str">
        <f>IF(AND(A59 &gt;= 'Task - Upliftment'!$E$5, A59 &lt;= 'Task - Upliftment'!$F$5, OR(B59="Instagram", B59="Twitter")),
    "Present",
    IF(A59 &lt; 'Task - Upliftment'!$E$5,
       IF(OR(B59="Instagram", B59="Twitter"), "Before", "NP"),
       "NP"))</f>
        <v>NP</v>
      </c>
    </row>
    <row r="60" spans="1:11" x14ac:dyDescent="0.3">
      <c r="A60" s="27" t="s">
        <v>87</v>
      </c>
      <c r="B60" s="5" t="s">
        <v>14</v>
      </c>
      <c r="C60" s="5">
        <v>751</v>
      </c>
      <c r="D60" s="5">
        <v>491</v>
      </c>
      <c r="E60" s="5">
        <v>434047</v>
      </c>
      <c r="F60" s="5">
        <v>9.24</v>
      </c>
      <c r="G60" s="5">
        <v>15476</v>
      </c>
      <c r="H60" t="str">
        <f>IF(AND(A60 &gt;= 'Task - Upliftment'!$E$2, A60 &lt;= 'Task - Upliftment'!$F$2, OR(B60="Instagram", B60="Facebook")),
    "Present",
    IF(A60 &lt; 'Task - Upliftment'!$E$2,
       IF(OR(B60="Instagram", B60="Facebook"), "Before", "NP"),
       "NP"))</f>
        <v>NP</v>
      </c>
      <c r="I60" t="str">
        <f>IF(AND(A60 &gt;= 'Task - Upliftment'!$E$3, A60 &lt;= 'Task - Upliftment'!$F$3, OR(B60="Instagram", B60="YouTube")),
    "Present",
    IF(A60 &lt; 'Task - Upliftment'!$E$3,
       IF(OR(B60="Instagram", B60="YouTube"), "Before", "NP"),
       "NP"))</f>
        <v>NP</v>
      </c>
      <c r="J60" t="str">
        <f>IF(AND(A60 &gt;= 'Task - Upliftment'!$E$4, A60 &lt;= 'Task - Upliftment'!$F$4, OR(B60="Facebook", B60="Twitter")),
    "Present",
    IF(A60 &lt; 'Task - Upliftment'!$E$4,
       IF(OR(B60="Facebook", B60="Twitter"), "Before", "NP"),
       "NP"))</f>
        <v>Before</v>
      </c>
      <c r="K60" t="str">
        <f>IF(AND(A60 &gt;= 'Task - Upliftment'!$E$5, A60 &lt;= 'Task - Upliftment'!$F$5, OR(B60="Instagram", B60="Twitter")),
    "Present",
    IF(A60 &lt; 'Task - Upliftment'!$E$5,
       IF(OR(B60="Instagram", B60="Twitter"), "Before", "NP"),
       "NP"))</f>
        <v>Before</v>
      </c>
    </row>
    <row r="61" spans="1:11" x14ac:dyDescent="0.3">
      <c r="A61" s="27" t="s">
        <v>87</v>
      </c>
      <c r="B61" s="5" t="s">
        <v>27</v>
      </c>
      <c r="C61" s="5">
        <v>1409</v>
      </c>
      <c r="D61" s="5">
        <v>309</v>
      </c>
      <c r="E61" s="5">
        <v>64583</v>
      </c>
      <c r="F61" s="5">
        <v>8.99</v>
      </c>
      <c r="G61" s="5">
        <v>10217</v>
      </c>
      <c r="H61" t="str">
        <f>IF(AND(A61 &gt;= 'Task - Upliftment'!$E$2, A61 &lt;= 'Task - Upliftment'!$F$2, OR(B61="Instagram", B61="Facebook")),
    "Present",
    IF(A61 &lt; 'Task - Upliftment'!$E$2,
       IF(OR(B61="Instagram", B61="Facebook"), "Before", "NP"),
       "NP"))</f>
        <v>NP</v>
      </c>
      <c r="I61" t="str">
        <f>IF(AND(A61 &gt;= 'Task - Upliftment'!$E$3, A61 &lt;= 'Task - Upliftment'!$F$3, OR(B61="Instagram", B61="YouTube")),
    "Present",
    IF(A61 &lt; 'Task - Upliftment'!$E$3,
       IF(OR(B61="Instagram", B61="YouTube"), "Before", "NP"),
       "NP"))</f>
        <v>Before</v>
      </c>
      <c r="J61" t="str">
        <f>IF(AND(A61 &gt;= 'Task - Upliftment'!$E$4, A61 &lt;= 'Task - Upliftment'!$F$4, OR(B61="Facebook", B61="Twitter")),
    "Present",
    IF(A61 &lt; 'Task - Upliftment'!$E$4,
       IF(OR(B61="Facebook", B61="Twitter"), "Before", "NP"),
       "NP"))</f>
        <v>NP</v>
      </c>
      <c r="K61" t="str">
        <f>IF(AND(A61 &gt;= 'Task - Upliftment'!$E$5, A61 &lt;= 'Task - Upliftment'!$F$5, OR(B61="Instagram", B61="Twitter")),
    "Present",
    IF(A61 &lt; 'Task - Upliftment'!$E$5,
       IF(OR(B61="Instagram", B61="Twitter"), "Before", "NP"),
       "NP"))</f>
        <v>NP</v>
      </c>
    </row>
    <row r="62" spans="1:11" x14ac:dyDescent="0.3">
      <c r="A62" s="27" t="s">
        <v>606</v>
      </c>
      <c r="B62" s="5" t="s">
        <v>33</v>
      </c>
      <c r="C62" s="5">
        <v>778</v>
      </c>
      <c r="D62" s="5">
        <v>401</v>
      </c>
      <c r="E62" s="5">
        <v>50793</v>
      </c>
      <c r="F62" s="5">
        <v>3.4</v>
      </c>
      <c r="G62" s="5">
        <v>21939</v>
      </c>
      <c r="H62" t="str">
        <f>IF(AND(A62 &gt;= 'Task - Upliftment'!$E$2, A62 &lt;= 'Task - Upliftment'!$F$2, OR(B62="Instagram", B62="Facebook")),
    "Present",
    IF(A62 &lt; 'Task - Upliftment'!$E$2,
       IF(OR(B62="Instagram", B62="Facebook"), "Before", "NP"),
       "NP"))</f>
        <v>NP</v>
      </c>
      <c r="I62" t="str">
        <f>IF(AND(A62 &gt;= 'Task - Upliftment'!$E$3, A62 &lt;= 'Task - Upliftment'!$F$3, OR(B62="Instagram", B62="YouTube")),
    "Present",
    IF(A62 &lt; 'Task - Upliftment'!$E$3,
       IF(OR(B62="Instagram", B62="YouTube"), "Before", "NP"),
       "NP"))</f>
        <v>Before</v>
      </c>
      <c r="J62" t="str">
        <f>IF(AND(A62 &gt;= 'Task - Upliftment'!$E$4, A62 &lt;= 'Task - Upliftment'!$F$4, OR(B62="Facebook", B62="Twitter")),
    "Present",
    IF(A62 &lt; 'Task - Upliftment'!$E$4,
       IF(OR(B62="Facebook", B62="Twitter"), "Before", "NP"),
       "NP"))</f>
        <v>NP</v>
      </c>
      <c r="K62" t="str">
        <f>IF(AND(A62 &gt;= 'Task - Upliftment'!$E$5, A62 &lt;= 'Task - Upliftment'!$F$5, OR(B62="Instagram", B62="Twitter")),
    "Present",
    IF(A62 &lt; 'Task - Upliftment'!$E$5,
       IF(OR(B62="Instagram", B62="Twitter"), "Before", "NP"),
       "NP"))</f>
        <v>Before</v>
      </c>
    </row>
    <row r="63" spans="1:11" x14ac:dyDescent="0.3">
      <c r="A63" s="27" t="s">
        <v>606</v>
      </c>
      <c r="B63" s="5" t="s">
        <v>43</v>
      </c>
      <c r="C63" s="5">
        <v>443</v>
      </c>
      <c r="D63" s="5">
        <v>345</v>
      </c>
      <c r="E63" s="5">
        <v>474162</v>
      </c>
      <c r="F63" s="5">
        <v>9.1999999999999993</v>
      </c>
      <c r="G63" s="5">
        <v>47462</v>
      </c>
      <c r="H63" t="str">
        <f>IF(AND(A63 &gt;= 'Task - Upliftment'!$E$2, A63 &lt;= 'Task - Upliftment'!$F$2, OR(B63="Instagram", B63="Facebook")),
    "Present",
    IF(A63 &lt; 'Task - Upliftment'!$E$2,
       IF(OR(B63="Instagram", B63="Facebook"), "Before", "NP"),
       "NP"))</f>
        <v>NP</v>
      </c>
      <c r="I63" t="str">
        <f>IF(AND(A63 &gt;= 'Task - Upliftment'!$E$3, A63 &lt;= 'Task - Upliftment'!$F$3, OR(B63="Instagram", B63="YouTube")),
    "Present",
    IF(A63 &lt; 'Task - Upliftment'!$E$3,
       IF(OR(B63="Instagram", B63="YouTube"), "Before", "NP"),
       "NP"))</f>
        <v>NP</v>
      </c>
      <c r="J63" t="str">
        <f>IF(AND(A63 &gt;= 'Task - Upliftment'!$E$4, A63 &lt;= 'Task - Upliftment'!$F$4, OR(B63="Facebook", B63="Twitter")),
    "Present",
    IF(A63 &lt; 'Task - Upliftment'!$E$4,
       IF(OR(B63="Facebook", B63="Twitter"), "Before", "NP"),
       "NP"))</f>
        <v>Before</v>
      </c>
      <c r="K63" t="str">
        <f>IF(AND(A63 &gt;= 'Task - Upliftment'!$E$5, A63 &lt;= 'Task - Upliftment'!$F$5, OR(B63="Instagram", B63="Twitter")),
    "Present",
    IF(A63 &lt; 'Task - Upliftment'!$E$5,
       IF(OR(B63="Instagram", B63="Twitter"), "Before", "NP"),
       "NP"))</f>
        <v>NP</v>
      </c>
    </row>
    <row r="64" spans="1:11" x14ac:dyDescent="0.3">
      <c r="A64" s="27" t="s">
        <v>606</v>
      </c>
      <c r="B64" s="5" t="s">
        <v>14</v>
      </c>
      <c r="C64" s="5">
        <v>1472</v>
      </c>
      <c r="D64" s="5">
        <v>347</v>
      </c>
      <c r="E64" s="5">
        <v>392355</v>
      </c>
      <c r="F64" s="5">
        <v>8.59</v>
      </c>
      <c r="G64" s="5">
        <v>30270</v>
      </c>
      <c r="H64" t="str">
        <f>IF(AND(A64 &gt;= 'Task - Upliftment'!$E$2, A64 &lt;= 'Task - Upliftment'!$F$2, OR(B64="Instagram", B64="Facebook")),
    "Present",
    IF(A64 &lt; 'Task - Upliftment'!$E$2,
       IF(OR(B64="Instagram", B64="Facebook"), "Before", "NP"),
       "NP"))</f>
        <v>NP</v>
      </c>
      <c r="I64" t="str">
        <f>IF(AND(A64 &gt;= 'Task - Upliftment'!$E$3, A64 &lt;= 'Task - Upliftment'!$F$3, OR(B64="Instagram", B64="YouTube")),
    "Present",
    IF(A64 &lt; 'Task - Upliftment'!$E$3,
       IF(OR(B64="Instagram", B64="YouTube"), "Before", "NP"),
       "NP"))</f>
        <v>NP</v>
      </c>
      <c r="J64" t="str">
        <f>IF(AND(A64 &gt;= 'Task - Upliftment'!$E$4, A64 &lt;= 'Task - Upliftment'!$F$4, OR(B64="Facebook", B64="Twitter")),
    "Present",
    IF(A64 &lt; 'Task - Upliftment'!$E$4,
       IF(OR(B64="Facebook", B64="Twitter"), "Before", "NP"),
       "NP"))</f>
        <v>Before</v>
      </c>
      <c r="K64" t="str">
        <f>IF(AND(A64 &gt;= 'Task - Upliftment'!$E$5, A64 &lt;= 'Task - Upliftment'!$F$5, OR(B64="Instagram", B64="Twitter")),
    "Present",
    IF(A64 &lt; 'Task - Upliftment'!$E$5,
       IF(OR(B64="Instagram", B64="Twitter"), "Before", "NP"),
       "NP"))</f>
        <v>Before</v>
      </c>
    </row>
    <row r="65" spans="1:11" x14ac:dyDescent="0.3">
      <c r="A65" s="27" t="s">
        <v>606</v>
      </c>
      <c r="B65" s="5" t="s">
        <v>27</v>
      </c>
      <c r="C65" s="5">
        <v>123</v>
      </c>
      <c r="D65" s="5">
        <v>155</v>
      </c>
      <c r="E65" s="5">
        <v>119934</v>
      </c>
      <c r="F65" s="5">
        <v>3.5</v>
      </c>
      <c r="G65" s="5">
        <v>5442</v>
      </c>
      <c r="H65" t="str">
        <f>IF(AND(A65 &gt;= 'Task - Upliftment'!$E$2, A65 &lt;= 'Task - Upliftment'!$F$2, OR(B65="Instagram", B65="Facebook")),
    "Present",
    IF(A65 &lt; 'Task - Upliftment'!$E$2,
       IF(OR(B65="Instagram", B65="Facebook"), "Before", "NP"),
       "NP"))</f>
        <v>NP</v>
      </c>
      <c r="I65" t="str">
        <f>IF(AND(A65 &gt;= 'Task - Upliftment'!$E$3, A65 &lt;= 'Task - Upliftment'!$F$3, OR(B65="Instagram", B65="YouTube")),
    "Present",
    IF(A65 &lt; 'Task - Upliftment'!$E$3,
       IF(OR(B65="Instagram", B65="YouTube"), "Before", "NP"),
       "NP"))</f>
        <v>Before</v>
      </c>
      <c r="J65" t="str">
        <f>IF(AND(A65 &gt;= 'Task - Upliftment'!$E$4, A65 &lt;= 'Task - Upliftment'!$F$4, OR(B65="Facebook", B65="Twitter")),
    "Present",
    IF(A65 &lt; 'Task - Upliftment'!$E$4,
       IF(OR(B65="Facebook", B65="Twitter"), "Before", "NP"),
       "NP"))</f>
        <v>NP</v>
      </c>
      <c r="K65" t="str">
        <f>IF(AND(A65 &gt;= 'Task - Upliftment'!$E$5, A65 &lt;= 'Task - Upliftment'!$F$5, OR(B65="Instagram", B65="Twitter")),
    "Present",
    IF(A65 &lt; 'Task - Upliftment'!$E$5,
       IF(OR(B65="Instagram", B65="Twitter"), "Before", "NP"),
       "NP"))</f>
        <v>NP</v>
      </c>
    </row>
    <row r="66" spans="1:11" x14ac:dyDescent="0.3">
      <c r="A66" s="27" t="s">
        <v>607</v>
      </c>
      <c r="B66" s="5" t="s">
        <v>33</v>
      </c>
      <c r="C66" s="5">
        <v>817</v>
      </c>
      <c r="D66" s="5">
        <v>151</v>
      </c>
      <c r="E66" s="5">
        <v>422625</v>
      </c>
      <c r="F66" s="5">
        <v>2.36</v>
      </c>
      <c r="G66" s="5">
        <v>1083</v>
      </c>
      <c r="H66" t="str">
        <f>IF(AND(A66 &gt;= 'Task - Upliftment'!$E$2, A66 &lt;= 'Task - Upliftment'!$F$2, OR(B66="Instagram", B66="Facebook")),
    "Present",
    IF(A66 &lt; 'Task - Upliftment'!$E$2,
       IF(OR(B66="Instagram", B66="Facebook"), "Before", "NP"),
       "NP"))</f>
        <v>NP</v>
      </c>
      <c r="I66" t="str">
        <f>IF(AND(A66 &gt;= 'Task - Upliftment'!$E$3, A66 &lt;= 'Task - Upliftment'!$F$3, OR(B66="Instagram", B66="YouTube")),
    "Present",
    IF(A66 &lt; 'Task - Upliftment'!$E$3,
       IF(OR(B66="Instagram", B66="YouTube"), "Before", "NP"),
       "NP"))</f>
        <v>Before</v>
      </c>
      <c r="J66" t="str">
        <f>IF(AND(A66 &gt;= 'Task - Upliftment'!$E$4, A66 &lt;= 'Task - Upliftment'!$F$4, OR(B66="Facebook", B66="Twitter")),
    "Present",
    IF(A66 &lt; 'Task - Upliftment'!$E$4,
       IF(OR(B66="Facebook", B66="Twitter"), "Before", "NP"),
       "NP"))</f>
        <v>NP</v>
      </c>
      <c r="K66" t="str">
        <f>IF(AND(A66 &gt;= 'Task - Upliftment'!$E$5, A66 &lt;= 'Task - Upliftment'!$F$5, OR(B66="Instagram", B66="Twitter")),
    "Present",
    IF(A66 &lt; 'Task - Upliftment'!$E$5,
       IF(OR(B66="Instagram", B66="Twitter"), "Before", "NP"),
       "NP"))</f>
        <v>Before</v>
      </c>
    </row>
    <row r="67" spans="1:11" x14ac:dyDescent="0.3">
      <c r="A67" s="27" t="s">
        <v>607</v>
      </c>
      <c r="B67" s="5" t="s">
        <v>43</v>
      </c>
      <c r="C67" s="5">
        <v>198</v>
      </c>
      <c r="D67" s="5">
        <v>217</v>
      </c>
      <c r="E67" s="5">
        <v>239753</v>
      </c>
      <c r="F67" s="5">
        <v>7.36</v>
      </c>
      <c r="G67" s="5">
        <v>11901</v>
      </c>
      <c r="H67" t="str">
        <f>IF(AND(A67 &gt;= 'Task - Upliftment'!$E$2, A67 &lt;= 'Task - Upliftment'!$F$2, OR(B67="Instagram", B67="Facebook")),
    "Present",
    IF(A67 &lt; 'Task - Upliftment'!$E$2,
       IF(OR(B67="Instagram", B67="Facebook"), "Before", "NP"),
       "NP"))</f>
        <v>NP</v>
      </c>
      <c r="I67" t="str">
        <f>IF(AND(A67 &gt;= 'Task - Upliftment'!$E$3, A67 &lt;= 'Task - Upliftment'!$F$3, OR(B67="Instagram", B67="YouTube")),
    "Present",
    IF(A67 &lt; 'Task - Upliftment'!$E$3,
       IF(OR(B67="Instagram", B67="YouTube"), "Before", "NP"),
       "NP"))</f>
        <v>NP</v>
      </c>
      <c r="J67" t="str">
        <f>IF(AND(A67 &gt;= 'Task - Upliftment'!$E$4, A67 &lt;= 'Task - Upliftment'!$F$4, OR(B67="Facebook", B67="Twitter")),
    "Present",
    IF(A67 &lt; 'Task - Upliftment'!$E$4,
       IF(OR(B67="Facebook", B67="Twitter"), "Before", "NP"),
       "NP"))</f>
        <v>Before</v>
      </c>
      <c r="K67" t="str">
        <f>IF(AND(A67 &gt;= 'Task - Upliftment'!$E$5, A67 &lt;= 'Task - Upliftment'!$F$5, OR(B67="Instagram", B67="Twitter")),
    "Present",
    IF(A67 &lt; 'Task - Upliftment'!$E$5,
       IF(OR(B67="Instagram", B67="Twitter"), "Before", "NP"),
       "NP"))</f>
        <v>NP</v>
      </c>
    </row>
    <row r="68" spans="1:11" x14ac:dyDescent="0.3">
      <c r="A68" s="27" t="s">
        <v>607</v>
      </c>
      <c r="B68" s="5" t="s">
        <v>14</v>
      </c>
      <c r="C68" s="5">
        <v>1911</v>
      </c>
      <c r="D68" s="5">
        <v>231</v>
      </c>
      <c r="E68" s="5">
        <v>268516</v>
      </c>
      <c r="F68" s="5">
        <v>8.5500000000000007</v>
      </c>
      <c r="G68" s="5">
        <v>24018</v>
      </c>
      <c r="H68" t="str">
        <f>IF(AND(A68 &gt;= 'Task - Upliftment'!$E$2, A68 &lt;= 'Task - Upliftment'!$F$2, OR(B68="Instagram", B68="Facebook")),
    "Present",
    IF(A68 &lt; 'Task - Upliftment'!$E$2,
       IF(OR(B68="Instagram", B68="Facebook"), "Before", "NP"),
       "NP"))</f>
        <v>NP</v>
      </c>
      <c r="I68" t="str">
        <f>IF(AND(A68 &gt;= 'Task - Upliftment'!$E$3, A68 &lt;= 'Task - Upliftment'!$F$3, OR(B68="Instagram", B68="YouTube")),
    "Present",
    IF(A68 &lt; 'Task - Upliftment'!$E$3,
       IF(OR(B68="Instagram", B68="YouTube"), "Before", "NP"),
       "NP"))</f>
        <v>NP</v>
      </c>
      <c r="J68" t="str">
        <f>IF(AND(A68 &gt;= 'Task - Upliftment'!$E$4, A68 &lt;= 'Task - Upliftment'!$F$4, OR(B68="Facebook", B68="Twitter")),
    "Present",
    IF(A68 &lt; 'Task - Upliftment'!$E$4,
       IF(OR(B68="Facebook", B68="Twitter"), "Before", "NP"),
       "NP"))</f>
        <v>Before</v>
      </c>
      <c r="K68" t="str">
        <f>IF(AND(A68 &gt;= 'Task - Upliftment'!$E$5, A68 &lt;= 'Task - Upliftment'!$F$5, OR(B68="Instagram", B68="Twitter")),
    "Present",
    IF(A68 &lt; 'Task - Upliftment'!$E$5,
       IF(OR(B68="Instagram", B68="Twitter"), "Before", "NP"),
       "NP"))</f>
        <v>Before</v>
      </c>
    </row>
    <row r="69" spans="1:11" x14ac:dyDescent="0.3">
      <c r="A69" s="27" t="s">
        <v>607</v>
      </c>
      <c r="B69" s="5" t="s">
        <v>27</v>
      </c>
      <c r="C69" s="5">
        <v>1218</v>
      </c>
      <c r="D69" s="5">
        <v>212</v>
      </c>
      <c r="E69" s="5">
        <v>63177</v>
      </c>
      <c r="F69" s="5">
        <v>8.1300000000000008</v>
      </c>
      <c r="G69" s="5">
        <v>38883</v>
      </c>
      <c r="H69" t="str">
        <f>IF(AND(A69 &gt;= 'Task - Upliftment'!$E$2, A69 &lt;= 'Task - Upliftment'!$F$2, OR(B69="Instagram", B69="Facebook")),
    "Present",
    IF(A69 &lt; 'Task - Upliftment'!$E$2,
       IF(OR(B69="Instagram", B69="Facebook"), "Before", "NP"),
       "NP"))</f>
        <v>NP</v>
      </c>
      <c r="I69" t="str">
        <f>IF(AND(A69 &gt;= 'Task - Upliftment'!$E$3, A69 &lt;= 'Task - Upliftment'!$F$3, OR(B69="Instagram", B69="YouTube")),
    "Present",
    IF(A69 &lt; 'Task - Upliftment'!$E$3,
       IF(OR(B69="Instagram", B69="YouTube"), "Before", "NP"),
       "NP"))</f>
        <v>Before</v>
      </c>
      <c r="J69" t="str">
        <f>IF(AND(A69 &gt;= 'Task - Upliftment'!$E$4, A69 &lt;= 'Task - Upliftment'!$F$4, OR(B69="Facebook", B69="Twitter")),
    "Present",
    IF(A69 &lt; 'Task - Upliftment'!$E$4,
       IF(OR(B69="Facebook", B69="Twitter"), "Before", "NP"),
       "NP"))</f>
        <v>NP</v>
      </c>
      <c r="K69" t="str">
        <f>IF(AND(A69 &gt;= 'Task - Upliftment'!$E$5, A69 &lt;= 'Task - Upliftment'!$F$5, OR(B69="Instagram", B69="Twitter")),
    "Present",
    IF(A69 &lt; 'Task - Upliftment'!$E$5,
       IF(OR(B69="Instagram", B69="Twitter"), "Before", "NP"),
       "NP"))</f>
        <v>NP</v>
      </c>
    </row>
    <row r="70" spans="1:11" x14ac:dyDescent="0.3">
      <c r="A70" s="27" t="s">
        <v>608</v>
      </c>
      <c r="B70" s="5" t="s">
        <v>33</v>
      </c>
      <c r="C70" s="5">
        <v>1433</v>
      </c>
      <c r="D70" s="5">
        <v>408</v>
      </c>
      <c r="E70" s="5">
        <v>370269</v>
      </c>
      <c r="F70" s="5">
        <v>3.3</v>
      </c>
      <c r="G70" s="5">
        <v>30575</v>
      </c>
      <c r="H70" t="str">
        <f>IF(AND(A70 &gt;= 'Task - Upliftment'!$E$2, A70 &lt;= 'Task - Upliftment'!$F$2, OR(B70="Instagram", B70="Facebook")),
    "Present",
    IF(A70 &lt; 'Task - Upliftment'!$E$2,
       IF(OR(B70="Instagram", B70="Facebook"), "Before", "NP"),
       "NP"))</f>
        <v>NP</v>
      </c>
      <c r="I70" t="str">
        <f>IF(AND(A70 &gt;= 'Task - Upliftment'!$E$3, A70 &lt;= 'Task - Upliftment'!$F$3, OR(B70="Instagram", B70="YouTube")),
    "Present",
    IF(A70 &lt; 'Task - Upliftment'!$E$3,
       IF(OR(B70="Instagram", B70="YouTube"), "Before", "NP"),
       "NP"))</f>
        <v>Before</v>
      </c>
      <c r="J70" t="str">
        <f>IF(AND(A70 &gt;= 'Task - Upliftment'!$E$4, A70 &lt;= 'Task - Upliftment'!$F$4, OR(B70="Facebook", B70="Twitter")),
    "Present",
    IF(A70 &lt; 'Task - Upliftment'!$E$4,
       IF(OR(B70="Facebook", B70="Twitter"), "Before", "NP"),
       "NP"))</f>
        <v>NP</v>
      </c>
      <c r="K70" t="str">
        <f>IF(AND(A70 &gt;= 'Task - Upliftment'!$E$5, A70 &lt;= 'Task - Upliftment'!$F$5, OR(B70="Instagram", B70="Twitter")),
    "Present",
    IF(A70 &lt; 'Task - Upliftment'!$E$5,
       IF(OR(B70="Instagram", B70="Twitter"), "Before", "NP"),
       "NP"))</f>
        <v>Before</v>
      </c>
    </row>
    <row r="71" spans="1:11" x14ac:dyDescent="0.3">
      <c r="A71" s="27" t="s">
        <v>608</v>
      </c>
      <c r="B71" s="5" t="s">
        <v>43</v>
      </c>
      <c r="C71" s="5">
        <v>250</v>
      </c>
      <c r="D71" s="5">
        <v>429</v>
      </c>
      <c r="E71" s="5">
        <v>453423</v>
      </c>
      <c r="F71" s="5">
        <v>1.77</v>
      </c>
      <c r="G71" s="5">
        <v>2315</v>
      </c>
      <c r="H71" t="str">
        <f>IF(AND(A71 &gt;= 'Task - Upliftment'!$E$2, A71 &lt;= 'Task - Upliftment'!$F$2, OR(B71="Instagram", B71="Facebook")),
    "Present",
    IF(A71 &lt; 'Task - Upliftment'!$E$2,
       IF(OR(B71="Instagram", B71="Facebook"), "Before", "NP"),
       "NP"))</f>
        <v>NP</v>
      </c>
      <c r="I71" t="str">
        <f>IF(AND(A71 &gt;= 'Task - Upliftment'!$E$3, A71 &lt;= 'Task - Upliftment'!$F$3, OR(B71="Instagram", B71="YouTube")),
    "Present",
    IF(A71 &lt; 'Task - Upliftment'!$E$3,
       IF(OR(B71="Instagram", B71="YouTube"), "Before", "NP"),
       "NP"))</f>
        <v>NP</v>
      </c>
      <c r="J71" t="str">
        <f>IF(AND(A71 &gt;= 'Task - Upliftment'!$E$4, A71 &lt;= 'Task - Upliftment'!$F$4, OR(B71="Facebook", B71="Twitter")),
    "Present",
    IF(A71 &lt; 'Task - Upliftment'!$E$4,
       IF(OR(B71="Facebook", B71="Twitter"), "Before", "NP"),
       "NP"))</f>
        <v>Before</v>
      </c>
      <c r="K71" t="str">
        <f>IF(AND(A71 &gt;= 'Task - Upliftment'!$E$5, A71 &lt;= 'Task - Upliftment'!$F$5, OR(B71="Instagram", B71="Twitter")),
    "Present",
    IF(A71 &lt; 'Task - Upliftment'!$E$5,
       IF(OR(B71="Instagram", B71="Twitter"), "Before", "NP"),
       "NP"))</f>
        <v>NP</v>
      </c>
    </row>
    <row r="72" spans="1:11" x14ac:dyDescent="0.3">
      <c r="A72" s="27" t="s">
        <v>608</v>
      </c>
      <c r="B72" s="5" t="s">
        <v>14</v>
      </c>
      <c r="C72" s="5">
        <v>752</v>
      </c>
      <c r="D72" s="5">
        <v>153</v>
      </c>
      <c r="E72" s="5">
        <v>64906</v>
      </c>
      <c r="F72" s="5">
        <v>2.09</v>
      </c>
      <c r="G72" s="5">
        <v>12148</v>
      </c>
      <c r="H72" t="str">
        <f>IF(AND(A72 &gt;= 'Task - Upliftment'!$E$2, A72 &lt;= 'Task - Upliftment'!$F$2, OR(B72="Instagram", B72="Facebook")),
    "Present",
    IF(A72 &lt; 'Task - Upliftment'!$E$2,
       IF(OR(B72="Instagram", B72="Facebook"), "Before", "NP"),
       "NP"))</f>
        <v>NP</v>
      </c>
      <c r="I72" t="str">
        <f>IF(AND(A72 &gt;= 'Task - Upliftment'!$E$3, A72 &lt;= 'Task - Upliftment'!$F$3, OR(B72="Instagram", B72="YouTube")),
    "Present",
    IF(A72 &lt; 'Task - Upliftment'!$E$3,
       IF(OR(B72="Instagram", B72="YouTube"), "Before", "NP"),
       "NP"))</f>
        <v>NP</v>
      </c>
      <c r="J72" t="str">
        <f>IF(AND(A72 &gt;= 'Task - Upliftment'!$E$4, A72 &lt;= 'Task - Upliftment'!$F$4, OR(B72="Facebook", B72="Twitter")),
    "Present",
    IF(A72 &lt; 'Task - Upliftment'!$E$4,
       IF(OR(B72="Facebook", B72="Twitter"), "Before", "NP"),
       "NP"))</f>
        <v>Before</v>
      </c>
      <c r="K72" t="str">
        <f>IF(AND(A72 &gt;= 'Task - Upliftment'!$E$5, A72 &lt;= 'Task - Upliftment'!$F$5, OR(B72="Instagram", B72="Twitter")),
    "Present",
    IF(A72 &lt; 'Task - Upliftment'!$E$5,
       IF(OR(B72="Instagram", B72="Twitter"), "Before", "NP"),
       "NP"))</f>
        <v>Before</v>
      </c>
    </row>
    <row r="73" spans="1:11" x14ac:dyDescent="0.3">
      <c r="A73" s="27" t="s">
        <v>608</v>
      </c>
      <c r="B73" s="5" t="s">
        <v>27</v>
      </c>
      <c r="C73" s="5">
        <v>1918</v>
      </c>
      <c r="D73" s="5">
        <v>212</v>
      </c>
      <c r="E73" s="5">
        <v>94360</v>
      </c>
      <c r="F73" s="5">
        <v>7.36</v>
      </c>
      <c r="G73" s="5">
        <v>36851</v>
      </c>
      <c r="H73" t="str">
        <f>IF(AND(A73 &gt;= 'Task - Upliftment'!$E$2, A73 &lt;= 'Task - Upliftment'!$F$2, OR(B73="Instagram", B73="Facebook")),
    "Present",
    IF(A73 &lt; 'Task - Upliftment'!$E$2,
       IF(OR(B73="Instagram", B73="Facebook"), "Before", "NP"),
       "NP"))</f>
        <v>NP</v>
      </c>
      <c r="I73" t="str">
        <f>IF(AND(A73 &gt;= 'Task - Upliftment'!$E$3, A73 &lt;= 'Task - Upliftment'!$F$3, OR(B73="Instagram", B73="YouTube")),
    "Present",
    IF(A73 &lt; 'Task - Upliftment'!$E$3,
       IF(OR(B73="Instagram", B73="YouTube"), "Before", "NP"),
       "NP"))</f>
        <v>Before</v>
      </c>
      <c r="J73" t="str">
        <f>IF(AND(A73 &gt;= 'Task - Upliftment'!$E$4, A73 &lt;= 'Task - Upliftment'!$F$4, OR(B73="Facebook", B73="Twitter")),
    "Present",
    IF(A73 &lt; 'Task - Upliftment'!$E$4,
       IF(OR(B73="Facebook", B73="Twitter"), "Before", "NP"),
       "NP"))</f>
        <v>NP</v>
      </c>
      <c r="K73" t="str">
        <f>IF(AND(A73 &gt;= 'Task - Upliftment'!$E$5, A73 &lt;= 'Task - Upliftment'!$F$5, OR(B73="Instagram", B73="Twitter")),
    "Present",
    IF(A73 &lt; 'Task - Upliftment'!$E$5,
       IF(OR(B73="Instagram", B73="Twitter"), "Before", "NP"),
       "NP"))</f>
        <v>NP</v>
      </c>
    </row>
    <row r="74" spans="1:11" x14ac:dyDescent="0.3">
      <c r="A74" s="27" t="s">
        <v>609</v>
      </c>
      <c r="B74" s="5" t="s">
        <v>33</v>
      </c>
      <c r="C74" s="5">
        <v>1939</v>
      </c>
      <c r="D74" s="5">
        <v>67</v>
      </c>
      <c r="E74" s="5">
        <v>187183</v>
      </c>
      <c r="F74" s="5">
        <v>6.25</v>
      </c>
      <c r="G74" s="5">
        <v>41215</v>
      </c>
      <c r="H74" t="str">
        <f>IF(AND(A74 &gt;= 'Task - Upliftment'!$E$2, A74 &lt;= 'Task - Upliftment'!$F$2, OR(B74="Instagram", B74="Facebook")),
    "Present",
    IF(A74 &lt; 'Task - Upliftment'!$E$2,
       IF(OR(B74="Instagram", B74="Facebook"), "Before", "NP"),
       "NP"))</f>
        <v>NP</v>
      </c>
      <c r="I74" t="str">
        <f>IF(AND(A74 &gt;= 'Task - Upliftment'!$E$3, A74 &lt;= 'Task - Upliftment'!$F$3, OR(B74="Instagram", B74="YouTube")),
    "Present",
    IF(A74 &lt; 'Task - Upliftment'!$E$3,
       IF(OR(B74="Instagram", B74="YouTube"), "Before", "NP"),
       "NP"))</f>
        <v>Present</v>
      </c>
      <c r="J74" t="str">
        <f>IF(AND(A74 &gt;= 'Task - Upliftment'!$E$4, A74 &lt;= 'Task - Upliftment'!$F$4, OR(B74="Facebook", B74="Twitter")),
    "Present",
    IF(A74 &lt; 'Task - Upliftment'!$E$4,
       IF(OR(B74="Facebook", B74="Twitter"), "Before", "NP"),
       "NP"))</f>
        <v>NP</v>
      </c>
      <c r="K74" t="str">
        <f>IF(AND(A74 &gt;= 'Task - Upliftment'!$E$5, A74 &lt;= 'Task - Upliftment'!$F$5, OR(B74="Instagram", B74="Twitter")),
    "Present",
    IF(A74 &lt; 'Task - Upliftment'!$E$5,
       IF(OR(B74="Instagram", B74="Twitter"), "Before", "NP"),
       "NP"))</f>
        <v>Before</v>
      </c>
    </row>
    <row r="75" spans="1:11" x14ac:dyDescent="0.3">
      <c r="A75" s="27" t="s">
        <v>609</v>
      </c>
      <c r="B75" s="5" t="s">
        <v>43</v>
      </c>
      <c r="C75" s="5">
        <v>1929</v>
      </c>
      <c r="D75" s="5">
        <v>267</v>
      </c>
      <c r="E75" s="5">
        <v>379363</v>
      </c>
      <c r="F75" s="5">
        <v>1.75</v>
      </c>
      <c r="G75" s="5">
        <v>43836</v>
      </c>
      <c r="H75" t="str">
        <f>IF(AND(A75 &gt;= 'Task - Upliftment'!$E$2, A75 &lt;= 'Task - Upliftment'!$F$2, OR(B75="Instagram", B75="Facebook")),
    "Present",
    IF(A75 &lt; 'Task - Upliftment'!$E$2,
       IF(OR(B75="Instagram", B75="Facebook"), "Before", "NP"),
       "NP"))</f>
        <v>NP</v>
      </c>
      <c r="I75" t="str">
        <f>IF(AND(A75 &gt;= 'Task - Upliftment'!$E$3, A75 &lt;= 'Task - Upliftment'!$F$3, OR(B75="Instagram", B75="YouTube")),
    "Present",
    IF(A75 &lt; 'Task - Upliftment'!$E$3,
       IF(OR(B75="Instagram", B75="YouTube"), "Before", "NP"),
       "NP"))</f>
        <v>NP</v>
      </c>
      <c r="J75" t="str">
        <f>IF(AND(A75 &gt;= 'Task - Upliftment'!$E$4, A75 &lt;= 'Task - Upliftment'!$F$4, OR(B75="Facebook", B75="Twitter")),
    "Present",
    IF(A75 &lt; 'Task - Upliftment'!$E$4,
       IF(OR(B75="Facebook", B75="Twitter"), "Before", "NP"),
       "NP"))</f>
        <v>Before</v>
      </c>
      <c r="K75" t="str">
        <f>IF(AND(A75 &gt;= 'Task - Upliftment'!$E$5, A75 &lt;= 'Task - Upliftment'!$F$5, OR(B75="Instagram", B75="Twitter")),
    "Present",
    IF(A75 &lt; 'Task - Upliftment'!$E$5,
       IF(OR(B75="Instagram", B75="Twitter"), "Before", "NP"),
       "NP"))</f>
        <v>NP</v>
      </c>
    </row>
    <row r="76" spans="1:11" x14ac:dyDescent="0.3">
      <c r="A76" s="27" t="s">
        <v>609</v>
      </c>
      <c r="B76" s="5" t="s">
        <v>14</v>
      </c>
      <c r="C76" s="5">
        <v>437</v>
      </c>
      <c r="D76" s="5">
        <v>330</v>
      </c>
      <c r="E76" s="5">
        <v>476486</v>
      </c>
      <c r="F76" s="5">
        <v>4.97</v>
      </c>
      <c r="G76" s="5">
        <v>4509</v>
      </c>
      <c r="H76" t="str">
        <f>IF(AND(A76 &gt;= 'Task - Upliftment'!$E$2, A76 &lt;= 'Task - Upliftment'!$F$2, OR(B76="Instagram", B76="Facebook")),
    "Present",
    IF(A76 &lt; 'Task - Upliftment'!$E$2,
       IF(OR(B76="Instagram", B76="Facebook"), "Before", "NP"),
       "NP"))</f>
        <v>NP</v>
      </c>
      <c r="I76" t="str">
        <f>IF(AND(A76 &gt;= 'Task - Upliftment'!$E$3, A76 &lt;= 'Task - Upliftment'!$F$3, OR(B76="Instagram", B76="YouTube")),
    "Present",
    IF(A76 &lt; 'Task - Upliftment'!$E$3,
       IF(OR(B76="Instagram", B76="YouTube"), "Before", "NP"),
       "NP"))</f>
        <v>NP</v>
      </c>
      <c r="J76" t="str">
        <f>IF(AND(A76 &gt;= 'Task - Upliftment'!$E$4, A76 &lt;= 'Task - Upliftment'!$F$4, OR(B76="Facebook", B76="Twitter")),
    "Present",
    IF(A76 &lt; 'Task - Upliftment'!$E$4,
       IF(OR(B76="Facebook", B76="Twitter"), "Before", "NP"),
       "NP"))</f>
        <v>Before</v>
      </c>
      <c r="K76" t="str">
        <f>IF(AND(A76 &gt;= 'Task - Upliftment'!$E$5, A76 &lt;= 'Task - Upliftment'!$F$5, OR(B76="Instagram", B76="Twitter")),
    "Present",
    IF(A76 &lt; 'Task - Upliftment'!$E$5,
       IF(OR(B76="Instagram", B76="Twitter"), "Before", "NP"),
       "NP"))</f>
        <v>Before</v>
      </c>
    </row>
    <row r="77" spans="1:11" x14ac:dyDescent="0.3">
      <c r="A77" s="27" t="s">
        <v>609</v>
      </c>
      <c r="B77" s="5" t="s">
        <v>27</v>
      </c>
      <c r="C77" s="5">
        <v>307</v>
      </c>
      <c r="D77" s="5">
        <v>189</v>
      </c>
      <c r="E77" s="5">
        <v>117767</v>
      </c>
      <c r="F77" s="5">
        <v>9.3000000000000007</v>
      </c>
      <c r="G77" s="5">
        <v>27822</v>
      </c>
      <c r="H77" t="str">
        <f>IF(AND(A77 &gt;= 'Task - Upliftment'!$E$2, A77 &lt;= 'Task - Upliftment'!$F$2, OR(B77="Instagram", B77="Facebook")),
    "Present",
    IF(A77 &lt; 'Task - Upliftment'!$E$2,
       IF(OR(B77="Instagram", B77="Facebook"), "Before", "NP"),
       "NP"))</f>
        <v>NP</v>
      </c>
      <c r="I77" t="str">
        <f>IF(AND(A77 &gt;= 'Task - Upliftment'!$E$3, A77 &lt;= 'Task - Upliftment'!$F$3, OR(B77="Instagram", B77="YouTube")),
    "Present",
    IF(A77 &lt; 'Task - Upliftment'!$E$3,
       IF(OR(B77="Instagram", B77="YouTube"), "Before", "NP"),
       "NP"))</f>
        <v>Present</v>
      </c>
      <c r="J77" t="str">
        <f>IF(AND(A77 &gt;= 'Task - Upliftment'!$E$4, A77 &lt;= 'Task - Upliftment'!$F$4, OR(B77="Facebook", B77="Twitter")),
    "Present",
    IF(A77 &lt; 'Task - Upliftment'!$E$4,
       IF(OR(B77="Facebook", B77="Twitter"), "Before", "NP"),
       "NP"))</f>
        <v>NP</v>
      </c>
      <c r="K77" t="str">
        <f>IF(AND(A77 &gt;= 'Task - Upliftment'!$E$5, A77 &lt;= 'Task - Upliftment'!$F$5, OR(B77="Instagram", B77="Twitter")),
    "Present",
    IF(A77 &lt; 'Task - Upliftment'!$E$5,
       IF(OR(B77="Instagram", B77="Twitter"), "Before", "NP"),
       "NP"))</f>
        <v>NP</v>
      </c>
    </row>
    <row r="78" spans="1:11" x14ac:dyDescent="0.3">
      <c r="A78" s="27" t="s">
        <v>610</v>
      </c>
      <c r="B78" s="5" t="s">
        <v>33</v>
      </c>
      <c r="C78" s="5">
        <v>1527</v>
      </c>
      <c r="D78" s="5">
        <v>303</v>
      </c>
      <c r="E78" s="5">
        <v>388555</v>
      </c>
      <c r="F78" s="5">
        <v>8.9</v>
      </c>
      <c r="G78" s="5">
        <v>36397</v>
      </c>
      <c r="H78" t="str">
        <f>IF(AND(A78 &gt;= 'Task - Upliftment'!$E$2, A78 &lt;= 'Task - Upliftment'!$F$2, OR(B78="Instagram", B78="Facebook")),
    "Present",
    IF(A78 &lt; 'Task - Upliftment'!$E$2,
       IF(OR(B78="Instagram", B78="Facebook"), "Before", "NP"),
       "NP"))</f>
        <v>NP</v>
      </c>
      <c r="I78" t="str">
        <f>IF(AND(A78 &gt;= 'Task - Upliftment'!$E$3, A78 &lt;= 'Task - Upliftment'!$F$3, OR(B78="Instagram", B78="YouTube")),
    "Present",
    IF(A78 &lt; 'Task - Upliftment'!$E$3,
       IF(OR(B78="Instagram", B78="YouTube"), "Before", "NP"),
       "NP"))</f>
        <v>Present</v>
      </c>
      <c r="J78" t="str">
        <f>IF(AND(A78 &gt;= 'Task - Upliftment'!$E$4, A78 &lt;= 'Task - Upliftment'!$F$4, OR(B78="Facebook", B78="Twitter")),
    "Present",
    IF(A78 &lt; 'Task - Upliftment'!$E$4,
       IF(OR(B78="Facebook", B78="Twitter"), "Before", "NP"),
       "NP"))</f>
        <v>NP</v>
      </c>
      <c r="K78" t="str">
        <f>IF(AND(A78 &gt;= 'Task - Upliftment'!$E$5, A78 &lt;= 'Task - Upliftment'!$F$5, OR(B78="Instagram", B78="Twitter")),
    "Present",
    IF(A78 &lt; 'Task - Upliftment'!$E$5,
       IF(OR(B78="Instagram", B78="Twitter"), "Before", "NP"),
       "NP"))</f>
        <v>Before</v>
      </c>
    </row>
    <row r="79" spans="1:11" x14ac:dyDescent="0.3">
      <c r="A79" s="27" t="s">
        <v>610</v>
      </c>
      <c r="B79" s="5" t="s">
        <v>43</v>
      </c>
      <c r="C79" s="5">
        <v>643</v>
      </c>
      <c r="D79" s="5">
        <v>358</v>
      </c>
      <c r="E79" s="5">
        <v>157599</v>
      </c>
      <c r="F79" s="5">
        <v>3.88</v>
      </c>
      <c r="G79" s="5">
        <v>7285</v>
      </c>
      <c r="H79" t="str">
        <f>IF(AND(A79 &gt;= 'Task - Upliftment'!$E$2, A79 &lt;= 'Task - Upliftment'!$F$2, OR(B79="Instagram", B79="Facebook")),
    "Present",
    IF(A79 &lt; 'Task - Upliftment'!$E$2,
       IF(OR(B79="Instagram", B79="Facebook"), "Before", "NP"),
       "NP"))</f>
        <v>NP</v>
      </c>
      <c r="I79" t="str">
        <f>IF(AND(A79 &gt;= 'Task - Upliftment'!$E$3, A79 &lt;= 'Task - Upliftment'!$F$3, OR(B79="Instagram", B79="YouTube")),
    "Present",
    IF(A79 &lt; 'Task - Upliftment'!$E$3,
       IF(OR(B79="Instagram", B79="YouTube"), "Before", "NP"),
       "NP"))</f>
        <v>NP</v>
      </c>
      <c r="J79" t="str">
        <f>IF(AND(A79 &gt;= 'Task - Upliftment'!$E$4, A79 &lt;= 'Task - Upliftment'!$F$4, OR(B79="Facebook", B79="Twitter")),
    "Present",
    IF(A79 &lt; 'Task - Upliftment'!$E$4,
       IF(OR(B79="Facebook", B79="Twitter"), "Before", "NP"),
       "NP"))</f>
        <v>Before</v>
      </c>
      <c r="K79" t="str">
        <f>IF(AND(A79 &gt;= 'Task - Upliftment'!$E$5, A79 &lt;= 'Task - Upliftment'!$F$5, OR(B79="Instagram", B79="Twitter")),
    "Present",
    IF(A79 &lt; 'Task - Upliftment'!$E$5,
       IF(OR(B79="Instagram", B79="Twitter"), "Before", "NP"),
       "NP"))</f>
        <v>NP</v>
      </c>
    </row>
    <row r="80" spans="1:11" x14ac:dyDescent="0.3">
      <c r="A80" s="27" t="s">
        <v>610</v>
      </c>
      <c r="B80" s="5" t="s">
        <v>14</v>
      </c>
      <c r="C80" s="5">
        <v>201</v>
      </c>
      <c r="D80" s="5">
        <v>221</v>
      </c>
      <c r="E80" s="5">
        <v>309772</v>
      </c>
      <c r="F80" s="5">
        <v>5.9</v>
      </c>
      <c r="G80" s="5">
        <v>33174</v>
      </c>
      <c r="H80" t="str">
        <f>IF(AND(A80 &gt;= 'Task - Upliftment'!$E$2, A80 &lt;= 'Task - Upliftment'!$F$2, OR(B80="Instagram", B80="Facebook")),
    "Present",
    IF(A80 &lt; 'Task - Upliftment'!$E$2,
       IF(OR(B80="Instagram", B80="Facebook"), "Before", "NP"),
       "NP"))</f>
        <v>NP</v>
      </c>
      <c r="I80" t="str">
        <f>IF(AND(A80 &gt;= 'Task - Upliftment'!$E$3, A80 &lt;= 'Task - Upliftment'!$F$3, OR(B80="Instagram", B80="YouTube")),
    "Present",
    IF(A80 &lt; 'Task - Upliftment'!$E$3,
       IF(OR(B80="Instagram", B80="YouTube"), "Before", "NP"),
       "NP"))</f>
        <v>NP</v>
      </c>
      <c r="J80" t="str">
        <f>IF(AND(A80 &gt;= 'Task - Upliftment'!$E$4, A80 &lt;= 'Task - Upliftment'!$F$4, OR(B80="Facebook", B80="Twitter")),
    "Present",
    IF(A80 &lt; 'Task - Upliftment'!$E$4,
       IF(OR(B80="Facebook", B80="Twitter"), "Before", "NP"),
       "NP"))</f>
        <v>Before</v>
      </c>
      <c r="K80" t="str">
        <f>IF(AND(A80 &gt;= 'Task - Upliftment'!$E$5, A80 &lt;= 'Task - Upliftment'!$F$5, OR(B80="Instagram", B80="Twitter")),
    "Present",
    IF(A80 &lt; 'Task - Upliftment'!$E$5,
       IF(OR(B80="Instagram", B80="Twitter"), "Before", "NP"),
       "NP"))</f>
        <v>Before</v>
      </c>
    </row>
    <row r="81" spans="1:11" x14ac:dyDescent="0.3">
      <c r="A81" s="27" t="s">
        <v>610</v>
      </c>
      <c r="B81" s="5" t="s">
        <v>27</v>
      </c>
      <c r="C81" s="5">
        <v>414</v>
      </c>
      <c r="D81" s="5">
        <v>47</v>
      </c>
      <c r="E81" s="5">
        <v>199178</v>
      </c>
      <c r="F81" s="5">
        <v>1.53</v>
      </c>
      <c r="G81" s="5">
        <v>6742</v>
      </c>
      <c r="H81" t="str">
        <f>IF(AND(A81 &gt;= 'Task - Upliftment'!$E$2, A81 &lt;= 'Task - Upliftment'!$F$2, OR(B81="Instagram", B81="Facebook")),
    "Present",
    IF(A81 &lt; 'Task - Upliftment'!$E$2,
       IF(OR(B81="Instagram", B81="Facebook"), "Before", "NP"),
       "NP"))</f>
        <v>NP</v>
      </c>
      <c r="I81" t="str">
        <f>IF(AND(A81 &gt;= 'Task - Upliftment'!$E$3, A81 &lt;= 'Task - Upliftment'!$F$3, OR(B81="Instagram", B81="YouTube")),
    "Present",
    IF(A81 &lt; 'Task - Upliftment'!$E$3,
       IF(OR(B81="Instagram", B81="YouTube"), "Before", "NP"),
       "NP"))</f>
        <v>Present</v>
      </c>
      <c r="J81" t="str">
        <f>IF(AND(A81 &gt;= 'Task - Upliftment'!$E$4, A81 &lt;= 'Task - Upliftment'!$F$4, OR(B81="Facebook", B81="Twitter")),
    "Present",
    IF(A81 &lt; 'Task - Upliftment'!$E$4,
       IF(OR(B81="Facebook", B81="Twitter"), "Before", "NP"),
       "NP"))</f>
        <v>NP</v>
      </c>
      <c r="K81" t="str">
        <f>IF(AND(A81 &gt;= 'Task - Upliftment'!$E$5, A81 &lt;= 'Task - Upliftment'!$F$5, OR(B81="Instagram", B81="Twitter")),
    "Present",
    IF(A81 &lt; 'Task - Upliftment'!$E$5,
       IF(OR(B81="Instagram", B81="Twitter"), "Before", "NP"),
       "NP"))</f>
        <v>NP</v>
      </c>
    </row>
    <row r="82" spans="1:11" x14ac:dyDescent="0.3">
      <c r="A82" s="27" t="s">
        <v>168</v>
      </c>
      <c r="B82" s="5" t="s">
        <v>33</v>
      </c>
      <c r="C82" s="5">
        <v>703</v>
      </c>
      <c r="D82" s="5">
        <v>441</v>
      </c>
      <c r="E82" s="5">
        <v>357089</v>
      </c>
      <c r="F82" s="5">
        <v>6.5</v>
      </c>
      <c r="G82" s="5">
        <v>32478</v>
      </c>
      <c r="H82" t="str">
        <f>IF(AND(A82 &gt;= 'Task - Upliftment'!$E$2, A82 &lt;= 'Task - Upliftment'!$F$2, OR(B82="Instagram", B82="Facebook")),
    "Present",
    IF(A82 &lt; 'Task - Upliftment'!$E$2,
       IF(OR(B82="Instagram", B82="Facebook"), "Before", "NP"),
       "NP"))</f>
        <v>NP</v>
      </c>
      <c r="I82" t="str">
        <f>IF(AND(A82 &gt;= 'Task - Upliftment'!$E$3, A82 &lt;= 'Task - Upliftment'!$F$3, OR(B82="Instagram", B82="YouTube")),
    "Present",
    IF(A82 &lt; 'Task - Upliftment'!$E$3,
       IF(OR(B82="Instagram", B82="YouTube"), "Before", "NP"),
       "NP"))</f>
        <v>Present</v>
      </c>
      <c r="J82" t="str">
        <f>IF(AND(A82 &gt;= 'Task - Upliftment'!$E$4, A82 &lt;= 'Task - Upliftment'!$F$4, OR(B82="Facebook", B82="Twitter")),
    "Present",
    IF(A82 &lt; 'Task - Upliftment'!$E$4,
       IF(OR(B82="Facebook", B82="Twitter"), "Before", "NP"),
       "NP"))</f>
        <v>NP</v>
      </c>
      <c r="K82" t="str">
        <f>IF(AND(A82 &gt;= 'Task - Upliftment'!$E$5, A82 &lt;= 'Task - Upliftment'!$F$5, OR(B82="Instagram", B82="Twitter")),
    "Present",
    IF(A82 &lt; 'Task - Upliftment'!$E$5,
       IF(OR(B82="Instagram", B82="Twitter"), "Before", "NP"),
       "NP"))</f>
        <v>Before</v>
      </c>
    </row>
    <row r="83" spans="1:11" x14ac:dyDescent="0.3">
      <c r="A83" s="27" t="s">
        <v>168</v>
      </c>
      <c r="B83" s="5" t="s">
        <v>43</v>
      </c>
      <c r="C83" s="5">
        <v>508</v>
      </c>
      <c r="D83" s="5">
        <v>69</v>
      </c>
      <c r="E83" s="5">
        <v>23492</v>
      </c>
      <c r="F83" s="5">
        <v>3.16</v>
      </c>
      <c r="G83" s="5">
        <v>42824</v>
      </c>
      <c r="H83" t="str">
        <f>IF(AND(A83 &gt;= 'Task - Upliftment'!$E$2, A83 &lt;= 'Task - Upliftment'!$F$2, OR(B83="Instagram", B83="Facebook")),
    "Present",
    IF(A83 &lt; 'Task - Upliftment'!$E$2,
       IF(OR(B83="Instagram", B83="Facebook"), "Before", "NP"),
       "NP"))</f>
        <v>NP</v>
      </c>
      <c r="I83" t="str">
        <f>IF(AND(A83 &gt;= 'Task - Upliftment'!$E$3, A83 &lt;= 'Task - Upliftment'!$F$3, OR(B83="Instagram", B83="YouTube")),
    "Present",
    IF(A83 &lt; 'Task - Upliftment'!$E$3,
       IF(OR(B83="Instagram", B83="YouTube"), "Before", "NP"),
       "NP"))</f>
        <v>NP</v>
      </c>
      <c r="J83" t="str">
        <f>IF(AND(A83 &gt;= 'Task - Upliftment'!$E$4, A83 &lt;= 'Task - Upliftment'!$F$4, OR(B83="Facebook", B83="Twitter")),
    "Present",
    IF(A83 &lt; 'Task - Upliftment'!$E$4,
       IF(OR(B83="Facebook", B83="Twitter"), "Before", "NP"),
       "NP"))</f>
        <v>Before</v>
      </c>
      <c r="K83" t="str">
        <f>IF(AND(A83 &gt;= 'Task - Upliftment'!$E$5, A83 &lt;= 'Task - Upliftment'!$F$5, OR(B83="Instagram", B83="Twitter")),
    "Present",
    IF(A83 &lt; 'Task - Upliftment'!$E$5,
       IF(OR(B83="Instagram", B83="Twitter"), "Before", "NP"),
       "NP"))</f>
        <v>NP</v>
      </c>
    </row>
    <row r="84" spans="1:11" x14ac:dyDescent="0.3">
      <c r="A84" s="27" t="s">
        <v>168</v>
      </c>
      <c r="B84" s="5" t="s">
        <v>14</v>
      </c>
      <c r="C84" s="5">
        <v>697</v>
      </c>
      <c r="D84" s="5">
        <v>61</v>
      </c>
      <c r="E84" s="5">
        <v>258287</v>
      </c>
      <c r="F84" s="5">
        <v>8.25</v>
      </c>
      <c r="G84" s="5">
        <v>21208</v>
      </c>
      <c r="H84" t="str">
        <f>IF(AND(A84 &gt;= 'Task - Upliftment'!$E$2, A84 &lt;= 'Task - Upliftment'!$F$2, OR(B84="Instagram", B84="Facebook")),
    "Present",
    IF(A84 &lt; 'Task - Upliftment'!$E$2,
       IF(OR(B84="Instagram", B84="Facebook"), "Before", "NP"),
       "NP"))</f>
        <v>NP</v>
      </c>
      <c r="I84" t="str">
        <f>IF(AND(A84 &gt;= 'Task - Upliftment'!$E$3, A84 &lt;= 'Task - Upliftment'!$F$3, OR(B84="Instagram", B84="YouTube")),
    "Present",
    IF(A84 &lt; 'Task - Upliftment'!$E$3,
       IF(OR(B84="Instagram", B84="YouTube"), "Before", "NP"),
       "NP"))</f>
        <v>NP</v>
      </c>
      <c r="J84" t="str">
        <f>IF(AND(A84 &gt;= 'Task - Upliftment'!$E$4, A84 &lt;= 'Task - Upliftment'!$F$4, OR(B84="Facebook", B84="Twitter")),
    "Present",
    IF(A84 &lt; 'Task - Upliftment'!$E$4,
       IF(OR(B84="Facebook", B84="Twitter"), "Before", "NP"),
       "NP"))</f>
        <v>Before</v>
      </c>
      <c r="K84" t="str">
        <f>IF(AND(A84 &gt;= 'Task - Upliftment'!$E$5, A84 &lt;= 'Task - Upliftment'!$F$5, OR(B84="Instagram", B84="Twitter")),
    "Present",
    IF(A84 &lt; 'Task - Upliftment'!$E$5,
       IF(OR(B84="Instagram", B84="Twitter"), "Before", "NP"),
       "NP"))</f>
        <v>Before</v>
      </c>
    </row>
    <row r="85" spans="1:11" x14ac:dyDescent="0.3">
      <c r="A85" s="27" t="s">
        <v>168</v>
      </c>
      <c r="B85" s="5" t="s">
        <v>27</v>
      </c>
      <c r="C85" s="5">
        <v>1707</v>
      </c>
      <c r="D85" s="5">
        <v>223</v>
      </c>
      <c r="E85" s="5">
        <v>256910</v>
      </c>
      <c r="F85" s="5">
        <v>5.41</v>
      </c>
      <c r="G85" s="5">
        <v>44321</v>
      </c>
      <c r="H85" t="str">
        <f>IF(AND(A85 &gt;= 'Task - Upliftment'!$E$2, A85 &lt;= 'Task - Upliftment'!$F$2, OR(B85="Instagram", B85="Facebook")),
    "Present",
    IF(A85 &lt; 'Task - Upliftment'!$E$2,
       IF(OR(B85="Instagram", B85="Facebook"), "Before", "NP"),
       "NP"))</f>
        <v>NP</v>
      </c>
      <c r="I85" t="str">
        <f>IF(AND(A85 &gt;= 'Task - Upliftment'!$E$3, A85 &lt;= 'Task - Upliftment'!$F$3, OR(B85="Instagram", B85="YouTube")),
    "Present",
    IF(A85 &lt; 'Task - Upliftment'!$E$3,
       IF(OR(B85="Instagram", B85="YouTube"), "Before", "NP"),
       "NP"))</f>
        <v>Present</v>
      </c>
      <c r="J85" t="str">
        <f>IF(AND(A85 &gt;= 'Task - Upliftment'!$E$4, A85 &lt;= 'Task - Upliftment'!$F$4, OR(B85="Facebook", B85="Twitter")),
    "Present",
    IF(A85 &lt; 'Task - Upliftment'!$E$4,
       IF(OR(B85="Facebook", B85="Twitter"), "Before", "NP"),
       "NP"))</f>
        <v>NP</v>
      </c>
      <c r="K85" t="str">
        <f>IF(AND(A85 &gt;= 'Task - Upliftment'!$E$5, A85 &lt;= 'Task - Upliftment'!$F$5, OR(B85="Instagram", B85="Twitter")),
    "Present",
    IF(A85 &lt; 'Task - Upliftment'!$E$5,
       IF(OR(B85="Instagram", B85="Twitter"), "Before", "NP"),
       "NP"))</f>
        <v>NP</v>
      </c>
    </row>
    <row r="86" spans="1:11" x14ac:dyDescent="0.3">
      <c r="A86" s="27" t="s">
        <v>201</v>
      </c>
      <c r="B86" s="5" t="s">
        <v>33</v>
      </c>
      <c r="C86" s="5">
        <v>642</v>
      </c>
      <c r="D86" s="5">
        <v>66</v>
      </c>
      <c r="E86" s="5">
        <v>346522</v>
      </c>
      <c r="F86" s="5">
        <v>5.85</v>
      </c>
      <c r="G86" s="5">
        <v>13116</v>
      </c>
      <c r="H86" t="str">
        <f>IF(AND(A86 &gt;= 'Task - Upliftment'!$E$2, A86 &lt;= 'Task - Upliftment'!$F$2, OR(B86="Instagram", B86="Facebook")),
    "Present",
    IF(A86 &lt; 'Task - Upliftment'!$E$2,
       IF(OR(B86="Instagram", B86="Facebook"), "Before", "NP"),
       "NP"))</f>
        <v>NP</v>
      </c>
      <c r="I86" t="str">
        <f>IF(AND(A86 &gt;= 'Task - Upliftment'!$E$3, A86 &lt;= 'Task - Upliftment'!$F$3, OR(B86="Instagram", B86="YouTube")),
    "Present",
    IF(A86 &lt; 'Task - Upliftment'!$E$3,
       IF(OR(B86="Instagram", B86="YouTube"), "Before", "NP"),
       "NP"))</f>
        <v>Present</v>
      </c>
      <c r="J86" t="str">
        <f>IF(AND(A86 &gt;= 'Task - Upliftment'!$E$4, A86 &lt;= 'Task - Upliftment'!$F$4, OR(B86="Facebook", B86="Twitter")),
    "Present",
    IF(A86 &lt; 'Task - Upliftment'!$E$4,
       IF(OR(B86="Facebook", B86="Twitter"), "Before", "NP"),
       "NP"))</f>
        <v>NP</v>
      </c>
      <c r="K86" t="str">
        <f>IF(AND(A86 &gt;= 'Task - Upliftment'!$E$5, A86 &lt;= 'Task - Upliftment'!$F$5, OR(B86="Instagram", B86="Twitter")),
    "Present",
    IF(A86 &lt; 'Task - Upliftment'!$E$5,
       IF(OR(B86="Instagram", B86="Twitter"), "Before", "NP"),
       "NP"))</f>
        <v>Before</v>
      </c>
    </row>
    <row r="87" spans="1:11" x14ac:dyDescent="0.3">
      <c r="A87" s="27" t="s">
        <v>201</v>
      </c>
      <c r="B87" s="5" t="s">
        <v>43</v>
      </c>
      <c r="C87" s="5">
        <v>859</v>
      </c>
      <c r="D87" s="5">
        <v>473</v>
      </c>
      <c r="E87" s="5">
        <v>209987</v>
      </c>
      <c r="F87" s="5">
        <v>4.46</v>
      </c>
      <c r="G87" s="5">
        <v>30214</v>
      </c>
      <c r="H87" t="str">
        <f>IF(AND(A87 &gt;= 'Task - Upliftment'!$E$2, A87 &lt;= 'Task - Upliftment'!$F$2, OR(B87="Instagram", B87="Facebook")),
    "Present",
    IF(A87 &lt; 'Task - Upliftment'!$E$2,
       IF(OR(B87="Instagram", B87="Facebook"), "Before", "NP"),
       "NP"))</f>
        <v>NP</v>
      </c>
      <c r="I87" t="str">
        <f>IF(AND(A87 &gt;= 'Task - Upliftment'!$E$3, A87 &lt;= 'Task - Upliftment'!$F$3, OR(B87="Instagram", B87="YouTube")),
    "Present",
    IF(A87 &lt; 'Task - Upliftment'!$E$3,
       IF(OR(B87="Instagram", B87="YouTube"), "Before", "NP"),
       "NP"))</f>
        <v>NP</v>
      </c>
      <c r="J87" t="str">
        <f>IF(AND(A87 &gt;= 'Task - Upliftment'!$E$4, A87 &lt;= 'Task - Upliftment'!$F$4, OR(B87="Facebook", B87="Twitter")),
    "Present",
    IF(A87 &lt; 'Task - Upliftment'!$E$4,
       IF(OR(B87="Facebook", B87="Twitter"), "Before", "NP"),
       "NP"))</f>
        <v>Before</v>
      </c>
      <c r="K87" t="str">
        <f>IF(AND(A87 &gt;= 'Task - Upliftment'!$E$5, A87 &lt;= 'Task - Upliftment'!$F$5, OR(B87="Instagram", B87="Twitter")),
    "Present",
    IF(A87 &lt; 'Task - Upliftment'!$E$5,
       IF(OR(B87="Instagram", B87="Twitter"), "Before", "NP"),
       "NP"))</f>
        <v>NP</v>
      </c>
    </row>
    <row r="88" spans="1:11" x14ac:dyDescent="0.3">
      <c r="A88" s="27" t="s">
        <v>201</v>
      </c>
      <c r="B88" s="5" t="s">
        <v>14</v>
      </c>
      <c r="C88" s="5">
        <v>191</v>
      </c>
      <c r="D88" s="5">
        <v>154</v>
      </c>
      <c r="E88" s="5">
        <v>240550</v>
      </c>
      <c r="F88" s="5">
        <v>5.22</v>
      </c>
      <c r="G88" s="5">
        <v>15827</v>
      </c>
      <c r="H88" t="str">
        <f>IF(AND(A88 &gt;= 'Task - Upliftment'!$E$2, A88 &lt;= 'Task - Upliftment'!$F$2, OR(B88="Instagram", B88="Facebook")),
    "Present",
    IF(A88 &lt; 'Task - Upliftment'!$E$2,
       IF(OR(B88="Instagram", B88="Facebook"), "Before", "NP"),
       "NP"))</f>
        <v>NP</v>
      </c>
      <c r="I88" t="str">
        <f>IF(AND(A88 &gt;= 'Task - Upliftment'!$E$3, A88 &lt;= 'Task - Upliftment'!$F$3, OR(B88="Instagram", B88="YouTube")),
    "Present",
    IF(A88 &lt; 'Task - Upliftment'!$E$3,
       IF(OR(B88="Instagram", B88="YouTube"), "Before", "NP"),
       "NP"))</f>
        <v>NP</v>
      </c>
      <c r="J88" t="str">
        <f>IF(AND(A88 &gt;= 'Task - Upliftment'!$E$4, A88 &lt;= 'Task - Upliftment'!$F$4, OR(B88="Facebook", B88="Twitter")),
    "Present",
    IF(A88 &lt; 'Task - Upliftment'!$E$4,
       IF(OR(B88="Facebook", B88="Twitter"), "Before", "NP"),
       "NP"))</f>
        <v>Before</v>
      </c>
      <c r="K88" t="str">
        <f>IF(AND(A88 &gt;= 'Task - Upliftment'!$E$5, A88 &lt;= 'Task - Upliftment'!$F$5, OR(B88="Instagram", B88="Twitter")),
    "Present",
    IF(A88 &lt; 'Task - Upliftment'!$E$5,
       IF(OR(B88="Instagram", B88="Twitter"), "Before", "NP"),
       "NP"))</f>
        <v>Before</v>
      </c>
    </row>
    <row r="89" spans="1:11" x14ac:dyDescent="0.3">
      <c r="A89" s="27" t="s">
        <v>201</v>
      </c>
      <c r="B89" s="5" t="s">
        <v>27</v>
      </c>
      <c r="C89" s="5">
        <v>1814</v>
      </c>
      <c r="D89" s="5">
        <v>157</v>
      </c>
      <c r="E89" s="5">
        <v>305827</v>
      </c>
      <c r="F89" s="5">
        <v>1.99</v>
      </c>
      <c r="G89" s="5">
        <v>46643</v>
      </c>
      <c r="H89" t="str">
        <f>IF(AND(A89 &gt;= 'Task - Upliftment'!$E$2, A89 &lt;= 'Task - Upliftment'!$F$2, OR(B89="Instagram", B89="Facebook")),
    "Present",
    IF(A89 &lt; 'Task - Upliftment'!$E$2,
       IF(OR(B89="Instagram", B89="Facebook"), "Before", "NP"),
       "NP"))</f>
        <v>NP</v>
      </c>
      <c r="I89" t="str">
        <f>IF(AND(A89 &gt;= 'Task - Upliftment'!$E$3, A89 &lt;= 'Task - Upliftment'!$F$3, OR(B89="Instagram", B89="YouTube")),
    "Present",
    IF(A89 &lt; 'Task - Upliftment'!$E$3,
       IF(OR(B89="Instagram", B89="YouTube"), "Before", "NP"),
       "NP"))</f>
        <v>Present</v>
      </c>
      <c r="J89" t="str">
        <f>IF(AND(A89 &gt;= 'Task - Upliftment'!$E$4, A89 &lt;= 'Task - Upliftment'!$F$4, OR(B89="Facebook", B89="Twitter")),
    "Present",
    IF(A89 &lt; 'Task - Upliftment'!$E$4,
       IF(OR(B89="Facebook", B89="Twitter"), "Before", "NP"),
       "NP"))</f>
        <v>NP</v>
      </c>
      <c r="K89" t="str">
        <f>IF(AND(A89 &gt;= 'Task - Upliftment'!$E$5, A89 &lt;= 'Task - Upliftment'!$F$5, OR(B89="Instagram", B89="Twitter")),
    "Present",
    IF(A89 &lt; 'Task - Upliftment'!$E$5,
       IF(OR(B89="Instagram", B89="Twitter"), "Before", "NP"),
       "NP"))</f>
        <v>NP</v>
      </c>
    </row>
    <row r="90" spans="1:11" x14ac:dyDescent="0.3">
      <c r="A90" s="27" t="s">
        <v>282</v>
      </c>
      <c r="B90" s="5" t="s">
        <v>33</v>
      </c>
      <c r="C90" s="5">
        <v>1466</v>
      </c>
      <c r="D90" s="5">
        <v>69</v>
      </c>
      <c r="E90" s="5">
        <v>54935</v>
      </c>
      <c r="F90" s="5">
        <v>6.85</v>
      </c>
      <c r="G90" s="5">
        <v>36484</v>
      </c>
      <c r="H90" t="str">
        <f>IF(AND(A90 &gt;= 'Task - Upliftment'!$E$2, A90 &lt;= 'Task - Upliftment'!$F$2, OR(B90="Instagram", B90="Facebook")),
    "Present",
    IF(A90 &lt; 'Task - Upliftment'!$E$2,
       IF(OR(B90="Instagram", B90="Facebook"), "Before", "NP"),
       "NP"))</f>
        <v>NP</v>
      </c>
      <c r="I90" t="str">
        <f>IF(AND(A90 &gt;= 'Task - Upliftment'!$E$3, A90 &lt;= 'Task - Upliftment'!$F$3, OR(B90="Instagram", B90="YouTube")),
    "Present",
    IF(A90 &lt; 'Task - Upliftment'!$E$3,
       IF(OR(B90="Instagram", B90="YouTube"), "Before", "NP"),
       "NP"))</f>
        <v>NP</v>
      </c>
      <c r="J90" t="str">
        <f>IF(AND(A90 &gt;= 'Task - Upliftment'!$E$4, A90 &lt;= 'Task - Upliftment'!$F$4, OR(B90="Facebook", B90="Twitter")),
    "Present",
    IF(A90 &lt; 'Task - Upliftment'!$E$4,
       IF(OR(B90="Facebook", B90="Twitter"), "Before", "NP"),
       "NP"))</f>
        <v>NP</v>
      </c>
      <c r="K90" t="str">
        <f>IF(AND(A90 &gt;= 'Task - Upliftment'!$E$5, A90 &lt;= 'Task - Upliftment'!$F$5, OR(B90="Instagram", B90="Twitter")),
    "Present",
    IF(A90 &lt; 'Task - Upliftment'!$E$5,
       IF(OR(B90="Instagram", B90="Twitter"), "Before", "NP"),
       "NP"))</f>
        <v>Before</v>
      </c>
    </row>
    <row r="91" spans="1:11" x14ac:dyDescent="0.3">
      <c r="A91" s="27" t="s">
        <v>282</v>
      </c>
      <c r="B91" s="5" t="s">
        <v>43</v>
      </c>
      <c r="C91" s="5">
        <v>947</v>
      </c>
      <c r="D91" s="5">
        <v>407</v>
      </c>
      <c r="E91" s="5">
        <v>319186</v>
      </c>
      <c r="F91" s="5">
        <v>3.32</v>
      </c>
      <c r="G91" s="5">
        <v>4996</v>
      </c>
      <c r="H91" t="str">
        <f>IF(AND(A91 &gt;= 'Task - Upliftment'!$E$2, A91 &lt;= 'Task - Upliftment'!$F$2, OR(B91="Instagram", B91="Facebook")),
    "Present",
    IF(A91 &lt; 'Task - Upliftment'!$E$2,
       IF(OR(B91="Instagram", B91="Facebook"), "Before", "NP"),
       "NP"))</f>
        <v>NP</v>
      </c>
      <c r="I91" t="str">
        <f>IF(AND(A91 &gt;= 'Task - Upliftment'!$E$3, A91 &lt;= 'Task - Upliftment'!$F$3, OR(B91="Instagram", B91="YouTube")),
    "Present",
    IF(A91 &lt; 'Task - Upliftment'!$E$3,
       IF(OR(B91="Instagram", B91="YouTube"), "Before", "NP"),
       "NP"))</f>
        <v>NP</v>
      </c>
      <c r="J91" t="str">
        <f>IF(AND(A91 &gt;= 'Task - Upliftment'!$E$4, A91 &lt;= 'Task - Upliftment'!$F$4, OR(B91="Facebook", B91="Twitter")),
    "Present",
    IF(A91 &lt; 'Task - Upliftment'!$E$4,
       IF(OR(B91="Facebook", B91="Twitter"), "Before", "NP"),
       "NP"))</f>
        <v>Before</v>
      </c>
      <c r="K91" t="str">
        <f>IF(AND(A91 &gt;= 'Task - Upliftment'!$E$5, A91 &lt;= 'Task - Upliftment'!$F$5, OR(B91="Instagram", B91="Twitter")),
    "Present",
    IF(A91 &lt; 'Task - Upliftment'!$E$5,
       IF(OR(B91="Instagram", B91="Twitter"), "Before", "NP"),
       "NP"))</f>
        <v>NP</v>
      </c>
    </row>
    <row r="92" spans="1:11" x14ac:dyDescent="0.3">
      <c r="A92" s="27" t="s">
        <v>282</v>
      </c>
      <c r="B92" s="5" t="s">
        <v>14</v>
      </c>
      <c r="C92" s="5">
        <v>1821</v>
      </c>
      <c r="D92" s="5">
        <v>218</v>
      </c>
      <c r="E92" s="5">
        <v>439080</v>
      </c>
      <c r="F92" s="5">
        <v>5.68</v>
      </c>
      <c r="G92" s="5">
        <v>36095</v>
      </c>
      <c r="H92" t="str">
        <f>IF(AND(A92 &gt;= 'Task - Upliftment'!$E$2, A92 &lt;= 'Task - Upliftment'!$F$2, OR(B92="Instagram", B92="Facebook")),
    "Present",
    IF(A92 &lt; 'Task - Upliftment'!$E$2,
       IF(OR(B92="Instagram", B92="Facebook"), "Before", "NP"),
       "NP"))</f>
        <v>NP</v>
      </c>
      <c r="I92" t="str">
        <f>IF(AND(A92 &gt;= 'Task - Upliftment'!$E$3, A92 &lt;= 'Task - Upliftment'!$F$3, OR(B92="Instagram", B92="YouTube")),
    "Present",
    IF(A92 &lt; 'Task - Upliftment'!$E$3,
       IF(OR(B92="Instagram", B92="YouTube"), "Before", "NP"),
       "NP"))</f>
        <v>NP</v>
      </c>
      <c r="J92" t="str">
        <f>IF(AND(A92 &gt;= 'Task - Upliftment'!$E$4, A92 &lt;= 'Task - Upliftment'!$F$4, OR(B92="Facebook", B92="Twitter")),
    "Present",
    IF(A92 &lt; 'Task - Upliftment'!$E$4,
       IF(OR(B92="Facebook", B92="Twitter"), "Before", "NP"),
       "NP"))</f>
        <v>Before</v>
      </c>
      <c r="K92" t="str">
        <f>IF(AND(A92 &gt;= 'Task - Upliftment'!$E$5, A92 &lt;= 'Task - Upliftment'!$F$5, OR(B92="Instagram", B92="Twitter")),
    "Present",
    IF(A92 &lt; 'Task - Upliftment'!$E$5,
       IF(OR(B92="Instagram", B92="Twitter"), "Before", "NP"),
       "NP"))</f>
        <v>Before</v>
      </c>
    </row>
    <row r="93" spans="1:11" x14ac:dyDescent="0.3">
      <c r="A93" s="27" t="s">
        <v>282</v>
      </c>
      <c r="B93" s="5" t="s">
        <v>27</v>
      </c>
      <c r="C93" s="5">
        <v>1507</v>
      </c>
      <c r="D93" s="5">
        <v>463</v>
      </c>
      <c r="E93" s="5">
        <v>258944</v>
      </c>
      <c r="F93" s="5">
        <v>6.08</v>
      </c>
      <c r="G93" s="5">
        <v>16443</v>
      </c>
      <c r="H93" t="str">
        <f>IF(AND(A93 &gt;= 'Task - Upliftment'!$E$2, A93 &lt;= 'Task - Upliftment'!$F$2, OR(B93="Instagram", B93="Facebook")),
    "Present",
    IF(A93 &lt; 'Task - Upliftment'!$E$2,
       IF(OR(B93="Instagram", B93="Facebook"), "Before", "NP"),
       "NP"))</f>
        <v>NP</v>
      </c>
      <c r="I93" t="str">
        <f>IF(AND(A93 &gt;= 'Task - Upliftment'!$E$3, A93 &lt;= 'Task - Upliftment'!$F$3, OR(B93="Instagram", B93="YouTube")),
    "Present",
    IF(A93 &lt; 'Task - Upliftment'!$E$3,
       IF(OR(B93="Instagram", B93="YouTube"), "Before", "NP"),
       "NP"))</f>
        <v>NP</v>
      </c>
      <c r="J93" t="str">
        <f>IF(AND(A93 &gt;= 'Task - Upliftment'!$E$4, A93 &lt;= 'Task - Upliftment'!$F$4, OR(B93="Facebook", B93="Twitter")),
    "Present",
    IF(A93 &lt; 'Task - Upliftment'!$E$4,
       IF(OR(B93="Facebook", B93="Twitter"), "Before", "NP"),
       "NP"))</f>
        <v>NP</v>
      </c>
      <c r="K93" t="str">
        <f>IF(AND(A93 &gt;= 'Task - Upliftment'!$E$5, A93 &lt;= 'Task - Upliftment'!$F$5, OR(B93="Instagram", B93="Twitter")),
    "Present",
    IF(A93 &lt; 'Task - Upliftment'!$E$5,
       IF(OR(B93="Instagram", B93="Twitter"), "Before", "NP"),
       "NP"))</f>
        <v>NP</v>
      </c>
    </row>
    <row r="94" spans="1:11" x14ac:dyDescent="0.3">
      <c r="A94" s="27" t="s">
        <v>611</v>
      </c>
      <c r="B94" s="5" t="s">
        <v>33</v>
      </c>
      <c r="C94" s="5">
        <v>1075</v>
      </c>
      <c r="D94" s="5">
        <v>173</v>
      </c>
      <c r="E94" s="5">
        <v>51395</v>
      </c>
      <c r="F94" s="5">
        <v>4.66</v>
      </c>
      <c r="G94" s="5">
        <v>47812</v>
      </c>
      <c r="H94" t="str">
        <f>IF(AND(A94 &gt;= 'Task - Upliftment'!$E$2, A94 &lt;= 'Task - Upliftment'!$F$2, OR(B94="Instagram", B94="Facebook")),
    "Present",
    IF(A94 &lt; 'Task - Upliftment'!$E$2,
       IF(OR(B94="Instagram", B94="Facebook"), "Before", "NP"),
       "NP"))</f>
        <v>NP</v>
      </c>
      <c r="I94" t="str">
        <f>IF(AND(A94 &gt;= 'Task - Upliftment'!$E$3, A94 &lt;= 'Task - Upliftment'!$F$3, OR(B94="Instagram", B94="YouTube")),
    "Present",
    IF(A94 &lt; 'Task - Upliftment'!$E$3,
       IF(OR(B94="Instagram", B94="YouTube"), "Before", "NP"),
       "NP"))</f>
        <v>NP</v>
      </c>
      <c r="J94" t="str">
        <f>IF(AND(A94 &gt;= 'Task - Upliftment'!$E$4, A94 &lt;= 'Task - Upliftment'!$F$4, OR(B94="Facebook", B94="Twitter")),
    "Present",
    IF(A94 &lt; 'Task - Upliftment'!$E$4,
       IF(OR(B94="Facebook", B94="Twitter"), "Before", "NP"),
       "NP"))</f>
        <v>NP</v>
      </c>
      <c r="K94" t="str">
        <f>IF(AND(A94 &gt;= 'Task - Upliftment'!$E$5, A94 &lt;= 'Task - Upliftment'!$F$5, OR(B94="Instagram", B94="Twitter")),
    "Present",
    IF(A94 &lt; 'Task - Upliftment'!$E$5,
       IF(OR(B94="Instagram", B94="Twitter"), "Before", "NP"),
       "NP"))</f>
        <v>Before</v>
      </c>
    </row>
    <row r="95" spans="1:11" x14ac:dyDescent="0.3">
      <c r="A95" s="27" t="s">
        <v>611</v>
      </c>
      <c r="B95" s="5" t="s">
        <v>43</v>
      </c>
      <c r="C95" s="5">
        <v>171</v>
      </c>
      <c r="D95" s="5">
        <v>277</v>
      </c>
      <c r="E95" s="5">
        <v>309483</v>
      </c>
      <c r="F95" s="5">
        <v>8.6999999999999993</v>
      </c>
      <c r="G95" s="5">
        <v>38452</v>
      </c>
      <c r="H95" t="str">
        <f>IF(AND(A95 &gt;= 'Task - Upliftment'!$E$2, A95 &lt;= 'Task - Upliftment'!$F$2, OR(B95="Instagram", B95="Facebook")),
    "Present",
    IF(A95 &lt; 'Task - Upliftment'!$E$2,
       IF(OR(B95="Instagram", B95="Facebook"), "Before", "NP"),
       "NP"))</f>
        <v>NP</v>
      </c>
      <c r="I95" t="str">
        <f>IF(AND(A95 &gt;= 'Task - Upliftment'!$E$3, A95 &lt;= 'Task - Upliftment'!$F$3, OR(B95="Instagram", B95="YouTube")),
    "Present",
    IF(A95 &lt; 'Task - Upliftment'!$E$3,
       IF(OR(B95="Instagram", B95="YouTube"), "Before", "NP"),
       "NP"))</f>
        <v>NP</v>
      </c>
      <c r="J95" t="str">
        <f>IF(AND(A95 &gt;= 'Task - Upliftment'!$E$4, A95 &lt;= 'Task - Upliftment'!$F$4, OR(B95="Facebook", B95="Twitter")),
    "Present",
    IF(A95 &lt; 'Task - Upliftment'!$E$4,
       IF(OR(B95="Facebook", B95="Twitter"), "Before", "NP"),
       "NP"))</f>
        <v>Before</v>
      </c>
      <c r="K95" t="str">
        <f>IF(AND(A95 &gt;= 'Task - Upliftment'!$E$5, A95 &lt;= 'Task - Upliftment'!$F$5, OR(B95="Instagram", B95="Twitter")),
    "Present",
    IF(A95 &lt; 'Task - Upliftment'!$E$5,
       IF(OR(B95="Instagram", B95="Twitter"), "Before", "NP"),
       "NP"))</f>
        <v>NP</v>
      </c>
    </row>
    <row r="96" spans="1:11" x14ac:dyDescent="0.3">
      <c r="A96" s="27" t="s">
        <v>611</v>
      </c>
      <c r="B96" s="5" t="s">
        <v>14</v>
      </c>
      <c r="C96" s="5">
        <v>1487</v>
      </c>
      <c r="D96" s="5">
        <v>337</v>
      </c>
      <c r="E96" s="5">
        <v>87305</v>
      </c>
      <c r="F96" s="5">
        <v>2.46</v>
      </c>
      <c r="G96" s="5">
        <v>30428</v>
      </c>
      <c r="H96" t="str">
        <f>IF(AND(A96 &gt;= 'Task - Upliftment'!$E$2, A96 &lt;= 'Task - Upliftment'!$F$2, OR(B96="Instagram", B96="Facebook")),
    "Present",
    IF(A96 &lt; 'Task - Upliftment'!$E$2,
       IF(OR(B96="Instagram", B96="Facebook"), "Before", "NP"),
       "NP"))</f>
        <v>NP</v>
      </c>
      <c r="I96" t="str">
        <f>IF(AND(A96 &gt;= 'Task - Upliftment'!$E$3, A96 &lt;= 'Task - Upliftment'!$F$3, OR(B96="Instagram", B96="YouTube")),
    "Present",
    IF(A96 &lt; 'Task - Upliftment'!$E$3,
       IF(OR(B96="Instagram", B96="YouTube"), "Before", "NP"),
       "NP"))</f>
        <v>NP</v>
      </c>
      <c r="J96" t="str">
        <f>IF(AND(A96 &gt;= 'Task - Upliftment'!$E$4, A96 &lt;= 'Task - Upliftment'!$F$4, OR(B96="Facebook", B96="Twitter")),
    "Present",
    IF(A96 &lt; 'Task - Upliftment'!$E$4,
       IF(OR(B96="Facebook", B96="Twitter"), "Before", "NP"),
       "NP"))</f>
        <v>Before</v>
      </c>
      <c r="K96" t="str">
        <f>IF(AND(A96 &gt;= 'Task - Upliftment'!$E$5, A96 &lt;= 'Task - Upliftment'!$F$5, OR(B96="Instagram", B96="Twitter")),
    "Present",
    IF(A96 &lt; 'Task - Upliftment'!$E$5,
       IF(OR(B96="Instagram", B96="Twitter"), "Before", "NP"),
       "NP"))</f>
        <v>Before</v>
      </c>
    </row>
    <row r="97" spans="1:11" x14ac:dyDescent="0.3">
      <c r="A97" s="27" t="s">
        <v>611</v>
      </c>
      <c r="B97" s="5" t="s">
        <v>27</v>
      </c>
      <c r="C97" s="5">
        <v>454</v>
      </c>
      <c r="D97" s="5">
        <v>105</v>
      </c>
      <c r="E97" s="5">
        <v>121091</v>
      </c>
      <c r="F97" s="5">
        <v>7.97</v>
      </c>
      <c r="G97" s="5">
        <v>9269</v>
      </c>
      <c r="H97" t="str">
        <f>IF(AND(A97 &gt;= 'Task - Upliftment'!$E$2, A97 &lt;= 'Task - Upliftment'!$F$2, OR(B97="Instagram", B97="Facebook")),
    "Present",
    IF(A97 &lt; 'Task - Upliftment'!$E$2,
       IF(OR(B97="Instagram", B97="Facebook"), "Before", "NP"),
       "NP"))</f>
        <v>NP</v>
      </c>
      <c r="I97" t="str">
        <f>IF(AND(A97 &gt;= 'Task - Upliftment'!$E$3, A97 &lt;= 'Task - Upliftment'!$F$3, OR(B97="Instagram", B97="YouTube")),
    "Present",
    IF(A97 &lt; 'Task - Upliftment'!$E$3,
       IF(OR(B97="Instagram", B97="YouTube"), "Before", "NP"),
       "NP"))</f>
        <v>NP</v>
      </c>
      <c r="J97" t="str">
        <f>IF(AND(A97 &gt;= 'Task - Upliftment'!$E$4, A97 &lt;= 'Task - Upliftment'!$F$4, OR(B97="Facebook", B97="Twitter")),
    "Present",
    IF(A97 &lt; 'Task - Upliftment'!$E$4,
       IF(OR(B97="Facebook", B97="Twitter"), "Before", "NP"),
       "NP"))</f>
        <v>NP</v>
      </c>
      <c r="K97" t="str">
        <f>IF(AND(A97 &gt;= 'Task - Upliftment'!$E$5, A97 &lt;= 'Task - Upliftment'!$F$5, OR(B97="Instagram", B97="Twitter")),
    "Present",
    IF(A97 &lt; 'Task - Upliftment'!$E$5,
       IF(OR(B97="Instagram", B97="Twitter"), "Before", "NP"),
       "NP"))</f>
        <v>NP</v>
      </c>
    </row>
    <row r="98" spans="1:11" x14ac:dyDescent="0.3">
      <c r="A98" s="27" t="s">
        <v>67</v>
      </c>
      <c r="B98" s="5" t="s">
        <v>33</v>
      </c>
      <c r="C98" s="5">
        <v>187</v>
      </c>
      <c r="D98" s="5">
        <v>236</v>
      </c>
      <c r="E98" s="5">
        <v>51087</v>
      </c>
      <c r="F98" s="5">
        <v>9.41</v>
      </c>
      <c r="G98" s="5">
        <v>29533</v>
      </c>
      <c r="H98" t="str">
        <f>IF(AND(A98 &gt;= 'Task - Upliftment'!$E$2, A98 &lt;= 'Task - Upliftment'!$F$2, OR(B98="Instagram", B98="Facebook")),
    "Present",
    IF(A98 &lt; 'Task - Upliftment'!$E$2,
       IF(OR(B98="Instagram", B98="Facebook"), "Before", "NP"),
       "NP"))</f>
        <v>NP</v>
      </c>
      <c r="I98" t="str">
        <f>IF(AND(A98 &gt;= 'Task - Upliftment'!$E$3, A98 &lt;= 'Task - Upliftment'!$F$3, OR(B98="Instagram", B98="YouTube")),
    "Present",
    IF(A98 &lt; 'Task - Upliftment'!$E$3,
       IF(OR(B98="Instagram", B98="YouTube"), "Before", "NP"),
       "NP"))</f>
        <v>NP</v>
      </c>
      <c r="J98" t="str">
        <f>IF(AND(A98 &gt;= 'Task - Upliftment'!$E$4, A98 &lt;= 'Task - Upliftment'!$F$4, OR(B98="Facebook", B98="Twitter")),
    "Present",
    IF(A98 &lt; 'Task - Upliftment'!$E$4,
       IF(OR(B98="Facebook", B98="Twitter"), "Before", "NP"),
       "NP"))</f>
        <v>NP</v>
      </c>
      <c r="K98" t="str">
        <f>IF(AND(A98 &gt;= 'Task - Upliftment'!$E$5, A98 &lt;= 'Task - Upliftment'!$F$5, OR(B98="Instagram", B98="Twitter")),
    "Present",
    IF(A98 &lt; 'Task - Upliftment'!$E$5,
       IF(OR(B98="Instagram", B98="Twitter"), "Before", "NP"),
       "NP"))</f>
        <v>Before</v>
      </c>
    </row>
    <row r="99" spans="1:11" x14ac:dyDescent="0.3">
      <c r="A99" s="27" t="s">
        <v>67</v>
      </c>
      <c r="B99" s="5" t="s">
        <v>43</v>
      </c>
      <c r="C99" s="5">
        <v>513</v>
      </c>
      <c r="D99" s="5">
        <v>441</v>
      </c>
      <c r="E99" s="5">
        <v>338847</v>
      </c>
      <c r="F99" s="5">
        <v>2.68</v>
      </c>
      <c r="G99" s="5">
        <v>39997</v>
      </c>
      <c r="H99" t="str">
        <f>IF(AND(A99 &gt;= 'Task - Upliftment'!$E$2, A99 &lt;= 'Task - Upliftment'!$F$2, OR(B99="Instagram", B99="Facebook")),
    "Present",
    IF(A99 &lt; 'Task - Upliftment'!$E$2,
       IF(OR(B99="Instagram", B99="Facebook"), "Before", "NP"),
       "NP"))</f>
        <v>NP</v>
      </c>
      <c r="I99" t="str">
        <f>IF(AND(A99 &gt;= 'Task - Upliftment'!$E$3, A99 &lt;= 'Task - Upliftment'!$F$3, OR(B99="Instagram", B99="YouTube")),
    "Present",
    IF(A99 &lt; 'Task - Upliftment'!$E$3,
       IF(OR(B99="Instagram", B99="YouTube"), "Before", "NP"),
       "NP"))</f>
        <v>NP</v>
      </c>
      <c r="J99" t="str">
        <f>IF(AND(A99 &gt;= 'Task - Upliftment'!$E$4, A99 &lt;= 'Task - Upliftment'!$F$4, OR(B99="Facebook", B99="Twitter")),
    "Present",
    IF(A99 &lt; 'Task - Upliftment'!$E$4,
       IF(OR(B99="Facebook", B99="Twitter"), "Before", "NP"),
       "NP"))</f>
        <v>Before</v>
      </c>
      <c r="K99" t="str">
        <f>IF(AND(A99 &gt;= 'Task - Upliftment'!$E$5, A99 &lt;= 'Task - Upliftment'!$F$5, OR(B99="Instagram", B99="Twitter")),
    "Present",
    IF(A99 &lt; 'Task - Upliftment'!$E$5,
       IF(OR(B99="Instagram", B99="Twitter"), "Before", "NP"),
       "NP"))</f>
        <v>NP</v>
      </c>
    </row>
    <row r="100" spans="1:11" x14ac:dyDescent="0.3">
      <c r="A100" s="27" t="s">
        <v>67</v>
      </c>
      <c r="B100" s="5" t="s">
        <v>14</v>
      </c>
      <c r="C100" s="5">
        <v>628</v>
      </c>
      <c r="D100" s="5">
        <v>183</v>
      </c>
      <c r="E100" s="5">
        <v>487523</v>
      </c>
      <c r="F100" s="5">
        <v>7.32</v>
      </c>
      <c r="G100" s="5">
        <v>5391</v>
      </c>
      <c r="H100" t="str">
        <f>IF(AND(A100 &gt;= 'Task - Upliftment'!$E$2, A100 &lt;= 'Task - Upliftment'!$F$2, OR(B100="Instagram", B100="Facebook")),
    "Present",
    IF(A100 &lt; 'Task - Upliftment'!$E$2,
       IF(OR(B100="Instagram", B100="Facebook"), "Before", "NP"),
       "NP"))</f>
        <v>NP</v>
      </c>
      <c r="I100" t="str">
        <f>IF(AND(A100 &gt;= 'Task - Upliftment'!$E$3, A100 &lt;= 'Task - Upliftment'!$F$3, OR(B100="Instagram", B100="YouTube")),
    "Present",
    IF(A100 &lt; 'Task - Upliftment'!$E$3,
       IF(OR(B100="Instagram", B100="YouTube"), "Before", "NP"),
       "NP"))</f>
        <v>NP</v>
      </c>
      <c r="J100" t="str">
        <f>IF(AND(A100 &gt;= 'Task - Upliftment'!$E$4, A100 &lt;= 'Task - Upliftment'!$F$4, OR(B100="Facebook", B100="Twitter")),
    "Present",
    IF(A100 &lt; 'Task - Upliftment'!$E$4,
       IF(OR(B100="Facebook", B100="Twitter"), "Before", "NP"),
       "NP"))</f>
        <v>Before</v>
      </c>
      <c r="K100" t="str">
        <f>IF(AND(A100 &gt;= 'Task - Upliftment'!$E$5, A100 &lt;= 'Task - Upliftment'!$F$5, OR(B100="Instagram", B100="Twitter")),
    "Present",
    IF(A100 &lt; 'Task - Upliftment'!$E$5,
       IF(OR(B100="Instagram", B100="Twitter"), "Before", "NP"),
       "NP"))</f>
        <v>Before</v>
      </c>
    </row>
    <row r="101" spans="1:11" x14ac:dyDescent="0.3">
      <c r="A101" s="27" t="s">
        <v>67</v>
      </c>
      <c r="B101" s="5" t="s">
        <v>27</v>
      </c>
      <c r="C101" s="5">
        <v>278</v>
      </c>
      <c r="D101" s="5">
        <v>218</v>
      </c>
      <c r="E101" s="5">
        <v>301695</v>
      </c>
      <c r="F101" s="5">
        <v>4.68</v>
      </c>
      <c r="G101" s="5">
        <v>22373</v>
      </c>
      <c r="H101" t="str">
        <f>IF(AND(A101 &gt;= 'Task - Upliftment'!$E$2, A101 &lt;= 'Task - Upliftment'!$F$2, OR(B101="Instagram", B101="Facebook")),
    "Present",
    IF(A101 &lt; 'Task - Upliftment'!$E$2,
       IF(OR(B101="Instagram", B101="Facebook"), "Before", "NP"),
       "NP"))</f>
        <v>NP</v>
      </c>
      <c r="I101" t="str">
        <f>IF(AND(A101 &gt;= 'Task - Upliftment'!$E$3, A101 &lt;= 'Task - Upliftment'!$F$3, OR(B101="Instagram", B101="YouTube")),
    "Present",
    IF(A101 &lt; 'Task - Upliftment'!$E$3,
       IF(OR(B101="Instagram", B101="YouTube"), "Before", "NP"),
       "NP"))</f>
        <v>NP</v>
      </c>
      <c r="J101" t="str">
        <f>IF(AND(A101 &gt;= 'Task - Upliftment'!$E$4, A101 &lt;= 'Task - Upliftment'!$F$4, OR(B101="Facebook", B101="Twitter")),
    "Present",
    IF(A101 &lt; 'Task - Upliftment'!$E$4,
       IF(OR(B101="Facebook", B101="Twitter"), "Before", "NP"),
       "NP"))</f>
        <v>NP</v>
      </c>
      <c r="K101" t="str">
        <f>IF(AND(A101 &gt;= 'Task - Upliftment'!$E$5, A101 &lt;= 'Task - Upliftment'!$F$5, OR(B101="Instagram", B101="Twitter")),
    "Present",
    IF(A101 &lt; 'Task - Upliftment'!$E$5,
       IF(OR(B101="Instagram", B101="Twitter"), "Before", "NP"),
       "NP"))</f>
        <v>NP</v>
      </c>
    </row>
    <row r="102" spans="1:11" x14ac:dyDescent="0.3">
      <c r="A102" s="27" t="s">
        <v>129</v>
      </c>
      <c r="B102" s="5" t="s">
        <v>33</v>
      </c>
      <c r="C102" s="5">
        <v>1854</v>
      </c>
      <c r="D102" s="5">
        <v>161</v>
      </c>
      <c r="E102" s="5">
        <v>282466</v>
      </c>
      <c r="F102" s="5">
        <v>5.17</v>
      </c>
      <c r="G102" s="5">
        <v>1810</v>
      </c>
      <c r="H102" t="str">
        <f>IF(AND(A102 &gt;= 'Task - Upliftment'!$E$2, A102 &lt;= 'Task - Upliftment'!$F$2, OR(B102="Instagram", B102="Facebook")),
    "Present",
    IF(A102 &lt; 'Task - Upliftment'!$E$2,
       IF(OR(B102="Instagram", B102="Facebook"), "Before", "NP"),
       "NP"))</f>
        <v>NP</v>
      </c>
      <c r="I102" t="str">
        <f>IF(AND(A102 &gt;= 'Task - Upliftment'!$E$3, A102 &lt;= 'Task - Upliftment'!$F$3, OR(B102="Instagram", B102="YouTube")),
    "Present",
    IF(A102 &lt; 'Task - Upliftment'!$E$3,
       IF(OR(B102="Instagram", B102="YouTube"), "Before", "NP"),
       "NP"))</f>
        <v>NP</v>
      </c>
      <c r="J102" t="str">
        <f>IF(AND(A102 &gt;= 'Task - Upliftment'!$E$4, A102 &lt;= 'Task - Upliftment'!$F$4, OR(B102="Facebook", B102="Twitter")),
    "Present",
    IF(A102 &lt; 'Task - Upliftment'!$E$4,
       IF(OR(B102="Facebook", B102="Twitter"), "Before", "NP"),
       "NP"))</f>
        <v>NP</v>
      </c>
      <c r="K102" t="str">
        <f>IF(AND(A102 &gt;= 'Task - Upliftment'!$E$5, A102 &lt;= 'Task - Upliftment'!$F$5, OR(B102="Instagram", B102="Twitter")),
    "Present",
    IF(A102 &lt; 'Task - Upliftment'!$E$5,
       IF(OR(B102="Instagram", B102="Twitter"), "Before", "NP"),
       "NP"))</f>
        <v>Before</v>
      </c>
    </row>
    <row r="103" spans="1:11" x14ac:dyDescent="0.3">
      <c r="A103" s="27" t="s">
        <v>129</v>
      </c>
      <c r="B103" s="5" t="s">
        <v>43</v>
      </c>
      <c r="C103" s="5">
        <v>1710</v>
      </c>
      <c r="D103" s="5">
        <v>378</v>
      </c>
      <c r="E103" s="5">
        <v>336661</v>
      </c>
      <c r="F103" s="5">
        <v>6.2</v>
      </c>
      <c r="G103" s="5">
        <v>28498</v>
      </c>
      <c r="H103" t="str">
        <f>IF(AND(A103 &gt;= 'Task - Upliftment'!$E$2, A103 &lt;= 'Task - Upliftment'!$F$2, OR(B103="Instagram", B103="Facebook")),
    "Present",
    IF(A103 &lt; 'Task - Upliftment'!$E$2,
       IF(OR(B103="Instagram", B103="Facebook"), "Before", "NP"),
       "NP"))</f>
        <v>NP</v>
      </c>
      <c r="I103" t="str">
        <f>IF(AND(A103 &gt;= 'Task - Upliftment'!$E$3, A103 &lt;= 'Task - Upliftment'!$F$3, OR(B103="Instagram", B103="YouTube")),
    "Present",
    IF(A103 &lt; 'Task - Upliftment'!$E$3,
       IF(OR(B103="Instagram", B103="YouTube"), "Before", "NP"),
       "NP"))</f>
        <v>NP</v>
      </c>
      <c r="J103" t="str">
        <f>IF(AND(A103 &gt;= 'Task - Upliftment'!$E$4, A103 &lt;= 'Task - Upliftment'!$F$4, OR(B103="Facebook", B103="Twitter")),
    "Present",
    IF(A103 &lt; 'Task - Upliftment'!$E$4,
       IF(OR(B103="Facebook", B103="Twitter"), "Before", "NP"),
       "NP"))</f>
        <v>Before</v>
      </c>
      <c r="K103" t="str">
        <f>IF(AND(A103 &gt;= 'Task - Upliftment'!$E$5, A103 &lt;= 'Task - Upliftment'!$F$5, OR(B103="Instagram", B103="Twitter")),
    "Present",
    IF(A103 &lt; 'Task - Upliftment'!$E$5,
       IF(OR(B103="Instagram", B103="Twitter"), "Before", "NP"),
       "NP"))</f>
        <v>NP</v>
      </c>
    </row>
    <row r="104" spans="1:11" x14ac:dyDescent="0.3">
      <c r="A104" s="27" t="s">
        <v>129</v>
      </c>
      <c r="B104" s="5" t="s">
        <v>14</v>
      </c>
      <c r="C104" s="5">
        <v>330</v>
      </c>
      <c r="D104" s="5">
        <v>232</v>
      </c>
      <c r="E104" s="5">
        <v>88455</v>
      </c>
      <c r="F104" s="5">
        <v>2.69</v>
      </c>
      <c r="G104" s="5">
        <v>39530</v>
      </c>
      <c r="H104" t="str">
        <f>IF(AND(A104 &gt;= 'Task - Upliftment'!$E$2, A104 &lt;= 'Task - Upliftment'!$F$2, OR(B104="Instagram", B104="Facebook")),
    "Present",
    IF(A104 &lt; 'Task - Upliftment'!$E$2,
       IF(OR(B104="Instagram", B104="Facebook"), "Before", "NP"),
       "NP"))</f>
        <v>NP</v>
      </c>
      <c r="I104" t="str">
        <f>IF(AND(A104 &gt;= 'Task - Upliftment'!$E$3, A104 &lt;= 'Task - Upliftment'!$F$3, OR(B104="Instagram", B104="YouTube")),
    "Present",
    IF(A104 &lt; 'Task - Upliftment'!$E$3,
       IF(OR(B104="Instagram", B104="YouTube"), "Before", "NP"),
       "NP"))</f>
        <v>NP</v>
      </c>
      <c r="J104" t="str">
        <f>IF(AND(A104 &gt;= 'Task - Upliftment'!$E$4, A104 &lt;= 'Task - Upliftment'!$F$4, OR(B104="Facebook", B104="Twitter")),
    "Present",
    IF(A104 &lt; 'Task - Upliftment'!$E$4,
       IF(OR(B104="Facebook", B104="Twitter"), "Before", "NP"),
       "NP"))</f>
        <v>Before</v>
      </c>
      <c r="K104" t="str">
        <f>IF(AND(A104 &gt;= 'Task - Upliftment'!$E$5, A104 &lt;= 'Task - Upliftment'!$F$5, OR(B104="Instagram", B104="Twitter")),
    "Present",
    IF(A104 &lt; 'Task - Upliftment'!$E$5,
       IF(OR(B104="Instagram", B104="Twitter"), "Before", "NP"),
       "NP"))</f>
        <v>Before</v>
      </c>
    </row>
    <row r="105" spans="1:11" x14ac:dyDescent="0.3">
      <c r="A105" s="27" t="s">
        <v>129</v>
      </c>
      <c r="B105" s="5" t="s">
        <v>27</v>
      </c>
      <c r="C105" s="5">
        <v>1293</v>
      </c>
      <c r="D105" s="5">
        <v>408</v>
      </c>
      <c r="E105" s="5">
        <v>62535</v>
      </c>
      <c r="F105" s="5">
        <v>8.9</v>
      </c>
      <c r="G105" s="5">
        <v>37876</v>
      </c>
      <c r="H105" t="str">
        <f>IF(AND(A105 &gt;= 'Task - Upliftment'!$E$2, A105 &lt;= 'Task - Upliftment'!$F$2, OR(B105="Instagram", B105="Facebook")),
    "Present",
    IF(A105 &lt; 'Task - Upliftment'!$E$2,
       IF(OR(B105="Instagram", B105="Facebook"), "Before", "NP"),
       "NP"))</f>
        <v>NP</v>
      </c>
      <c r="I105" t="str">
        <f>IF(AND(A105 &gt;= 'Task - Upliftment'!$E$3, A105 &lt;= 'Task - Upliftment'!$F$3, OR(B105="Instagram", B105="YouTube")),
    "Present",
    IF(A105 &lt; 'Task - Upliftment'!$E$3,
       IF(OR(B105="Instagram", B105="YouTube"), "Before", "NP"),
       "NP"))</f>
        <v>NP</v>
      </c>
      <c r="J105" t="str">
        <f>IF(AND(A105 &gt;= 'Task - Upliftment'!$E$4, A105 &lt;= 'Task - Upliftment'!$F$4, OR(B105="Facebook", B105="Twitter")),
    "Present",
    IF(A105 &lt; 'Task - Upliftment'!$E$4,
       IF(OR(B105="Facebook", B105="Twitter"), "Before", "NP"),
       "NP"))</f>
        <v>NP</v>
      </c>
      <c r="K105" t="str">
        <f>IF(AND(A105 &gt;= 'Task - Upliftment'!$E$5, A105 &lt;= 'Task - Upliftment'!$F$5, OR(B105="Instagram", B105="Twitter")),
    "Present",
    IF(A105 &lt; 'Task - Upliftment'!$E$5,
       IF(OR(B105="Instagram", B105="Twitter"), "Before", "NP"),
       "NP"))</f>
        <v>NP</v>
      </c>
    </row>
    <row r="106" spans="1:11" x14ac:dyDescent="0.3">
      <c r="A106" s="27" t="s">
        <v>612</v>
      </c>
      <c r="B106" s="5" t="s">
        <v>33</v>
      </c>
      <c r="C106" s="5">
        <v>1696</v>
      </c>
      <c r="D106" s="5">
        <v>71</v>
      </c>
      <c r="E106" s="5">
        <v>421957</v>
      </c>
      <c r="F106" s="5">
        <v>3.79</v>
      </c>
      <c r="G106" s="5">
        <v>36103</v>
      </c>
      <c r="H106" t="str">
        <f>IF(AND(A106 &gt;= 'Task - Upliftment'!$E$2, A106 &lt;= 'Task - Upliftment'!$F$2, OR(B106="Instagram", B106="Facebook")),
    "Present",
    IF(A106 &lt; 'Task - Upliftment'!$E$2,
       IF(OR(B106="Instagram", B106="Facebook"), "Before", "NP"),
       "NP"))</f>
        <v>NP</v>
      </c>
      <c r="I106" t="str">
        <f>IF(AND(A106 &gt;= 'Task - Upliftment'!$E$3, A106 &lt;= 'Task - Upliftment'!$F$3, OR(B106="Instagram", B106="YouTube")),
    "Present",
    IF(A106 &lt; 'Task - Upliftment'!$E$3,
       IF(OR(B106="Instagram", B106="YouTube"), "Before", "NP"),
       "NP"))</f>
        <v>NP</v>
      </c>
      <c r="J106" t="str">
        <f>IF(AND(A106 &gt;= 'Task - Upliftment'!$E$4, A106 &lt;= 'Task - Upliftment'!$F$4, OR(B106="Facebook", B106="Twitter")),
    "Present",
    IF(A106 &lt; 'Task - Upliftment'!$E$4,
       IF(OR(B106="Facebook", B106="Twitter"), "Before", "NP"),
       "NP"))</f>
        <v>NP</v>
      </c>
      <c r="K106" t="str">
        <f>IF(AND(A106 &gt;= 'Task - Upliftment'!$E$5, A106 &lt;= 'Task - Upliftment'!$F$5, OR(B106="Instagram", B106="Twitter")),
    "Present",
    IF(A106 &lt; 'Task - Upliftment'!$E$5,
       IF(OR(B106="Instagram", B106="Twitter"), "Before", "NP"),
       "NP"))</f>
        <v>Before</v>
      </c>
    </row>
    <row r="107" spans="1:11" x14ac:dyDescent="0.3">
      <c r="A107" s="27" t="s">
        <v>612</v>
      </c>
      <c r="B107" s="5" t="s">
        <v>43</v>
      </c>
      <c r="C107" s="5">
        <v>1902</v>
      </c>
      <c r="D107" s="5">
        <v>196</v>
      </c>
      <c r="E107" s="5">
        <v>470269</v>
      </c>
      <c r="F107" s="5">
        <v>4.79</v>
      </c>
      <c r="G107" s="5">
        <v>26103</v>
      </c>
      <c r="H107" t="str">
        <f>IF(AND(A107 &gt;= 'Task - Upliftment'!$E$2, A107 &lt;= 'Task - Upliftment'!$F$2, OR(B107="Instagram", B107="Facebook")),
    "Present",
    IF(A107 &lt; 'Task - Upliftment'!$E$2,
       IF(OR(B107="Instagram", B107="Facebook"), "Before", "NP"),
       "NP"))</f>
        <v>NP</v>
      </c>
      <c r="I107" t="str">
        <f>IF(AND(A107 &gt;= 'Task - Upliftment'!$E$3, A107 &lt;= 'Task - Upliftment'!$F$3, OR(B107="Instagram", B107="YouTube")),
    "Present",
    IF(A107 &lt; 'Task - Upliftment'!$E$3,
       IF(OR(B107="Instagram", B107="YouTube"), "Before", "NP"),
       "NP"))</f>
        <v>NP</v>
      </c>
      <c r="J107" t="str">
        <f>IF(AND(A107 &gt;= 'Task - Upliftment'!$E$4, A107 &lt;= 'Task - Upliftment'!$F$4, OR(B107="Facebook", B107="Twitter")),
    "Present",
    IF(A107 &lt; 'Task - Upliftment'!$E$4,
       IF(OR(B107="Facebook", B107="Twitter"), "Before", "NP"),
       "NP"))</f>
        <v>Before</v>
      </c>
      <c r="K107" t="str">
        <f>IF(AND(A107 &gt;= 'Task - Upliftment'!$E$5, A107 &lt;= 'Task - Upliftment'!$F$5, OR(B107="Instagram", B107="Twitter")),
    "Present",
    IF(A107 &lt; 'Task - Upliftment'!$E$5,
       IF(OR(B107="Instagram", B107="Twitter"), "Before", "NP"),
       "NP"))</f>
        <v>NP</v>
      </c>
    </row>
    <row r="108" spans="1:11" x14ac:dyDescent="0.3">
      <c r="A108" s="27" t="s">
        <v>612</v>
      </c>
      <c r="B108" s="5" t="s">
        <v>14</v>
      </c>
      <c r="C108" s="5">
        <v>1441</v>
      </c>
      <c r="D108" s="5">
        <v>268</v>
      </c>
      <c r="E108" s="5">
        <v>309904</v>
      </c>
      <c r="F108" s="5">
        <v>6.37</v>
      </c>
      <c r="G108" s="5">
        <v>3455</v>
      </c>
      <c r="H108" t="str">
        <f>IF(AND(A108 &gt;= 'Task - Upliftment'!$E$2, A108 &lt;= 'Task - Upliftment'!$F$2, OR(B108="Instagram", B108="Facebook")),
    "Present",
    IF(A108 &lt; 'Task - Upliftment'!$E$2,
       IF(OR(B108="Instagram", B108="Facebook"), "Before", "NP"),
       "NP"))</f>
        <v>NP</v>
      </c>
      <c r="I108" t="str">
        <f>IF(AND(A108 &gt;= 'Task - Upliftment'!$E$3, A108 &lt;= 'Task - Upliftment'!$F$3, OR(B108="Instagram", B108="YouTube")),
    "Present",
    IF(A108 &lt; 'Task - Upliftment'!$E$3,
       IF(OR(B108="Instagram", B108="YouTube"), "Before", "NP"),
       "NP"))</f>
        <v>NP</v>
      </c>
      <c r="J108" t="str">
        <f>IF(AND(A108 &gt;= 'Task - Upliftment'!$E$4, A108 &lt;= 'Task - Upliftment'!$F$4, OR(B108="Facebook", B108="Twitter")),
    "Present",
    IF(A108 &lt; 'Task - Upliftment'!$E$4,
       IF(OR(B108="Facebook", B108="Twitter"), "Before", "NP"),
       "NP"))</f>
        <v>Before</v>
      </c>
      <c r="K108" t="str">
        <f>IF(AND(A108 &gt;= 'Task - Upliftment'!$E$5, A108 &lt;= 'Task - Upliftment'!$F$5, OR(B108="Instagram", B108="Twitter")),
    "Present",
    IF(A108 &lt; 'Task - Upliftment'!$E$5,
       IF(OR(B108="Instagram", B108="Twitter"), "Before", "NP"),
       "NP"))</f>
        <v>Before</v>
      </c>
    </row>
    <row r="109" spans="1:11" x14ac:dyDescent="0.3">
      <c r="A109" s="27" t="s">
        <v>612</v>
      </c>
      <c r="B109" s="5" t="s">
        <v>27</v>
      </c>
      <c r="C109" s="5">
        <v>452</v>
      </c>
      <c r="D109" s="5">
        <v>161</v>
      </c>
      <c r="E109" s="5">
        <v>221274</v>
      </c>
      <c r="F109" s="5">
        <v>2.65</v>
      </c>
      <c r="G109" s="5">
        <v>40888</v>
      </c>
      <c r="H109" t="str">
        <f>IF(AND(A109 &gt;= 'Task - Upliftment'!$E$2, A109 &lt;= 'Task - Upliftment'!$F$2, OR(B109="Instagram", B109="Facebook")),
    "Present",
    IF(A109 &lt; 'Task - Upliftment'!$E$2,
       IF(OR(B109="Instagram", B109="Facebook"), "Before", "NP"),
       "NP"))</f>
        <v>NP</v>
      </c>
      <c r="I109" t="str">
        <f>IF(AND(A109 &gt;= 'Task - Upliftment'!$E$3, A109 &lt;= 'Task - Upliftment'!$F$3, OR(B109="Instagram", B109="YouTube")),
    "Present",
    IF(A109 &lt; 'Task - Upliftment'!$E$3,
       IF(OR(B109="Instagram", B109="YouTube"), "Before", "NP"),
       "NP"))</f>
        <v>NP</v>
      </c>
      <c r="J109" t="str">
        <f>IF(AND(A109 &gt;= 'Task - Upliftment'!$E$4, A109 &lt;= 'Task - Upliftment'!$F$4, OR(B109="Facebook", B109="Twitter")),
    "Present",
    IF(A109 &lt; 'Task - Upliftment'!$E$4,
       IF(OR(B109="Facebook", B109="Twitter"), "Before", "NP"),
       "NP"))</f>
        <v>NP</v>
      </c>
      <c r="K109" t="str">
        <f>IF(AND(A109 &gt;= 'Task - Upliftment'!$E$5, A109 &lt;= 'Task - Upliftment'!$F$5, OR(B109="Instagram", B109="Twitter")),
    "Present",
    IF(A109 &lt; 'Task - Upliftment'!$E$5,
       IF(OR(B109="Instagram", B109="Twitter"), "Before", "NP"),
       "NP"))</f>
        <v>NP</v>
      </c>
    </row>
    <row r="110" spans="1:11" x14ac:dyDescent="0.3">
      <c r="A110" s="27" t="s">
        <v>221</v>
      </c>
      <c r="B110" s="5" t="s">
        <v>33</v>
      </c>
      <c r="C110" s="5">
        <v>1494</v>
      </c>
      <c r="D110" s="5">
        <v>375</v>
      </c>
      <c r="E110" s="5">
        <v>220616</v>
      </c>
      <c r="F110" s="5">
        <v>1.81</v>
      </c>
      <c r="G110" s="5">
        <v>22724</v>
      </c>
      <c r="H110" t="str">
        <f>IF(AND(A110 &gt;= 'Task - Upliftment'!$E$2, A110 &lt;= 'Task - Upliftment'!$F$2, OR(B110="Instagram", B110="Facebook")),
    "Present",
    IF(A110 &lt; 'Task - Upliftment'!$E$2,
       IF(OR(B110="Instagram", B110="Facebook"), "Before", "NP"),
       "NP"))</f>
        <v>NP</v>
      </c>
      <c r="I110" t="str">
        <f>IF(AND(A110 &gt;= 'Task - Upliftment'!$E$3, A110 &lt;= 'Task - Upliftment'!$F$3, OR(B110="Instagram", B110="YouTube")),
    "Present",
    IF(A110 &lt; 'Task - Upliftment'!$E$3,
       IF(OR(B110="Instagram", B110="YouTube"), "Before", "NP"),
       "NP"))</f>
        <v>NP</v>
      </c>
      <c r="J110" t="str">
        <f>IF(AND(A110 &gt;= 'Task - Upliftment'!$E$4, A110 &lt;= 'Task - Upliftment'!$F$4, OR(B110="Facebook", B110="Twitter")),
    "Present",
    IF(A110 &lt; 'Task - Upliftment'!$E$4,
       IF(OR(B110="Facebook", B110="Twitter"), "Before", "NP"),
       "NP"))</f>
        <v>NP</v>
      </c>
      <c r="K110" t="str">
        <f>IF(AND(A110 &gt;= 'Task - Upliftment'!$E$5, A110 &lt;= 'Task - Upliftment'!$F$5, OR(B110="Instagram", B110="Twitter")),
    "Present",
    IF(A110 &lt; 'Task - Upliftment'!$E$5,
       IF(OR(B110="Instagram", B110="Twitter"), "Before", "NP"),
       "NP"))</f>
        <v>Before</v>
      </c>
    </row>
    <row r="111" spans="1:11" x14ac:dyDescent="0.3">
      <c r="A111" s="27" t="s">
        <v>221</v>
      </c>
      <c r="B111" s="5" t="s">
        <v>43</v>
      </c>
      <c r="C111" s="5">
        <v>1514</v>
      </c>
      <c r="D111" s="5">
        <v>141</v>
      </c>
      <c r="E111" s="5">
        <v>35842</v>
      </c>
      <c r="F111" s="5">
        <v>7.47</v>
      </c>
      <c r="G111" s="5">
        <v>18601</v>
      </c>
      <c r="H111" t="str">
        <f>IF(AND(A111 &gt;= 'Task - Upliftment'!$E$2, A111 &lt;= 'Task - Upliftment'!$F$2, OR(B111="Instagram", B111="Facebook")),
    "Present",
    IF(A111 &lt; 'Task - Upliftment'!$E$2,
       IF(OR(B111="Instagram", B111="Facebook"), "Before", "NP"),
       "NP"))</f>
        <v>NP</v>
      </c>
      <c r="I111" t="str">
        <f>IF(AND(A111 &gt;= 'Task - Upliftment'!$E$3, A111 &lt;= 'Task - Upliftment'!$F$3, OR(B111="Instagram", B111="YouTube")),
    "Present",
    IF(A111 &lt; 'Task - Upliftment'!$E$3,
       IF(OR(B111="Instagram", B111="YouTube"), "Before", "NP"),
       "NP"))</f>
        <v>NP</v>
      </c>
      <c r="J111" t="str">
        <f>IF(AND(A111 &gt;= 'Task - Upliftment'!$E$4, A111 &lt;= 'Task - Upliftment'!$F$4, OR(B111="Facebook", B111="Twitter")),
    "Present",
    IF(A111 &lt; 'Task - Upliftment'!$E$4,
       IF(OR(B111="Facebook", B111="Twitter"), "Before", "NP"),
       "NP"))</f>
        <v>Before</v>
      </c>
      <c r="K111" t="str">
        <f>IF(AND(A111 &gt;= 'Task - Upliftment'!$E$5, A111 &lt;= 'Task - Upliftment'!$F$5, OR(B111="Instagram", B111="Twitter")),
    "Present",
    IF(A111 &lt; 'Task - Upliftment'!$E$5,
       IF(OR(B111="Instagram", B111="Twitter"), "Before", "NP"),
       "NP"))</f>
        <v>NP</v>
      </c>
    </row>
    <row r="112" spans="1:11" x14ac:dyDescent="0.3">
      <c r="A112" s="27" t="s">
        <v>221</v>
      </c>
      <c r="B112" s="5" t="s">
        <v>14</v>
      </c>
      <c r="C112" s="5">
        <v>1937</v>
      </c>
      <c r="D112" s="5">
        <v>210</v>
      </c>
      <c r="E112" s="5">
        <v>20607</v>
      </c>
      <c r="F112" s="5">
        <v>4.2</v>
      </c>
      <c r="G112" s="5">
        <v>20861</v>
      </c>
      <c r="H112" t="str">
        <f>IF(AND(A112 &gt;= 'Task - Upliftment'!$E$2, A112 &lt;= 'Task - Upliftment'!$F$2, OR(B112="Instagram", B112="Facebook")),
    "Present",
    IF(A112 &lt; 'Task - Upliftment'!$E$2,
       IF(OR(B112="Instagram", B112="Facebook"), "Before", "NP"),
       "NP"))</f>
        <v>NP</v>
      </c>
      <c r="I112" t="str">
        <f>IF(AND(A112 &gt;= 'Task - Upliftment'!$E$3, A112 &lt;= 'Task - Upliftment'!$F$3, OR(B112="Instagram", B112="YouTube")),
    "Present",
    IF(A112 &lt; 'Task - Upliftment'!$E$3,
       IF(OR(B112="Instagram", B112="YouTube"), "Before", "NP"),
       "NP"))</f>
        <v>NP</v>
      </c>
      <c r="J112" t="str">
        <f>IF(AND(A112 &gt;= 'Task - Upliftment'!$E$4, A112 &lt;= 'Task - Upliftment'!$F$4, OR(B112="Facebook", B112="Twitter")),
    "Present",
    IF(A112 &lt; 'Task - Upliftment'!$E$4,
       IF(OR(B112="Facebook", B112="Twitter"), "Before", "NP"),
       "NP"))</f>
        <v>Before</v>
      </c>
      <c r="K112" t="str">
        <f>IF(AND(A112 &gt;= 'Task - Upliftment'!$E$5, A112 &lt;= 'Task - Upliftment'!$F$5, OR(B112="Instagram", B112="Twitter")),
    "Present",
    IF(A112 &lt; 'Task - Upliftment'!$E$5,
       IF(OR(B112="Instagram", B112="Twitter"), "Before", "NP"),
       "NP"))</f>
        <v>Before</v>
      </c>
    </row>
    <row r="113" spans="1:11" x14ac:dyDescent="0.3">
      <c r="A113" s="27" t="s">
        <v>221</v>
      </c>
      <c r="B113" s="5" t="s">
        <v>27</v>
      </c>
      <c r="C113" s="5">
        <v>736</v>
      </c>
      <c r="D113" s="5">
        <v>163</v>
      </c>
      <c r="E113" s="5">
        <v>451894</v>
      </c>
      <c r="F113" s="5">
        <v>5.43</v>
      </c>
      <c r="G113" s="5">
        <v>46625</v>
      </c>
      <c r="H113" t="str">
        <f>IF(AND(A113 &gt;= 'Task - Upliftment'!$E$2, A113 &lt;= 'Task - Upliftment'!$F$2, OR(B113="Instagram", B113="Facebook")),
    "Present",
    IF(A113 &lt; 'Task - Upliftment'!$E$2,
       IF(OR(B113="Instagram", B113="Facebook"), "Before", "NP"),
       "NP"))</f>
        <v>NP</v>
      </c>
      <c r="I113" t="str">
        <f>IF(AND(A113 &gt;= 'Task - Upliftment'!$E$3, A113 &lt;= 'Task - Upliftment'!$F$3, OR(B113="Instagram", B113="YouTube")),
    "Present",
    IF(A113 &lt; 'Task - Upliftment'!$E$3,
       IF(OR(B113="Instagram", B113="YouTube"), "Before", "NP"),
       "NP"))</f>
        <v>NP</v>
      </c>
      <c r="J113" t="str">
        <f>IF(AND(A113 &gt;= 'Task - Upliftment'!$E$4, A113 &lt;= 'Task - Upliftment'!$F$4, OR(B113="Facebook", B113="Twitter")),
    "Present",
    IF(A113 &lt; 'Task - Upliftment'!$E$4,
       IF(OR(B113="Facebook", B113="Twitter"), "Before", "NP"),
       "NP"))</f>
        <v>NP</v>
      </c>
      <c r="K113" t="str">
        <f>IF(AND(A113 &gt;= 'Task - Upliftment'!$E$5, A113 &lt;= 'Task - Upliftment'!$F$5, OR(B113="Instagram", B113="Twitter")),
    "Present",
    IF(A113 &lt; 'Task - Upliftment'!$E$5,
       IF(OR(B113="Instagram", B113="Twitter"), "Before", "NP"),
       "NP"))</f>
        <v>NP</v>
      </c>
    </row>
    <row r="114" spans="1:11" x14ac:dyDescent="0.3">
      <c r="A114" s="27" t="s">
        <v>112</v>
      </c>
      <c r="B114" s="5" t="s">
        <v>33</v>
      </c>
      <c r="C114" s="5">
        <v>1502</v>
      </c>
      <c r="D114" s="5">
        <v>70</v>
      </c>
      <c r="E114" s="5">
        <v>465553</v>
      </c>
      <c r="F114" s="5">
        <v>3.32</v>
      </c>
      <c r="G114" s="5">
        <v>20692</v>
      </c>
      <c r="H114" t="str">
        <f>IF(AND(A114 &gt;= 'Task - Upliftment'!$E$2, A114 &lt;= 'Task - Upliftment'!$F$2, OR(B114="Instagram", B114="Facebook")),
    "Present",
    IF(A114 &lt; 'Task - Upliftment'!$E$2,
       IF(OR(B114="Instagram", B114="Facebook"), "Before", "NP"),
       "NP"))</f>
        <v>NP</v>
      </c>
      <c r="I114" t="str">
        <f>IF(AND(A114 &gt;= 'Task - Upliftment'!$E$3, A114 &lt;= 'Task - Upliftment'!$F$3, OR(B114="Instagram", B114="YouTube")),
    "Present",
    IF(A114 &lt; 'Task - Upliftment'!$E$3,
       IF(OR(B114="Instagram", B114="YouTube"), "Before", "NP"),
       "NP"))</f>
        <v>NP</v>
      </c>
      <c r="J114" t="str">
        <f>IF(AND(A114 &gt;= 'Task - Upliftment'!$E$4, A114 &lt;= 'Task - Upliftment'!$F$4, OR(B114="Facebook", B114="Twitter")),
    "Present",
    IF(A114 &lt; 'Task - Upliftment'!$E$4,
       IF(OR(B114="Facebook", B114="Twitter"), "Before", "NP"),
       "NP"))</f>
        <v>NP</v>
      </c>
      <c r="K114" t="str">
        <f>IF(AND(A114 &gt;= 'Task - Upliftment'!$E$5, A114 &lt;= 'Task - Upliftment'!$F$5, OR(B114="Instagram", B114="Twitter")),
    "Present",
    IF(A114 &lt; 'Task - Upliftment'!$E$5,
       IF(OR(B114="Instagram", B114="Twitter"), "Before", "NP"),
       "NP"))</f>
        <v>Before</v>
      </c>
    </row>
    <row r="115" spans="1:11" x14ac:dyDescent="0.3">
      <c r="A115" s="27" t="s">
        <v>112</v>
      </c>
      <c r="B115" s="5" t="s">
        <v>43</v>
      </c>
      <c r="C115" s="5">
        <v>1623</v>
      </c>
      <c r="D115" s="5">
        <v>246</v>
      </c>
      <c r="E115" s="5">
        <v>415815</v>
      </c>
      <c r="F115" s="5">
        <v>8.11</v>
      </c>
      <c r="G115" s="5">
        <v>18656</v>
      </c>
      <c r="H115" t="str">
        <f>IF(AND(A115 &gt;= 'Task - Upliftment'!$E$2, A115 &lt;= 'Task - Upliftment'!$F$2, OR(B115="Instagram", B115="Facebook")),
    "Present",
    IF(A115 &lt; 'Task - Upliftment'!$E$2,
       IF(OR(B115="Instagram", B115="Facebook"), "Before", "NP"),
       "NP"))</f>
        <v>NP</v>
      </c>
      <c r="I115" t="str">
        <f>IF(AND(A115 &gt;= 'Task - Upliftment'!$E$3, A115 &lt;= 'Task - Upliftment'!$F$3, OR(B115="Instagram", B115="YouTube")),
    "Present",
    IF(A115 &lt; 'Task - Upliftment'!$E$3,
       IF(OR(B115="Instagram", B115="YouTube"), "Before", "NP"),
       "NP"))</f>
        <v>NP</v>
      </c>
      <c r="J115" t="str">
        <f>IF(AND(A115 &gt;= 'Task - Upliftment'!$E$4, A115 &lt;= 'Task - Upliftment'!$F$4, OR(B115="Facebook", B115="Twitter")),
    "Present",
    IF(A115 &lt; 'Task - Upliftment'!$E$4,
       IF(OR(B115="Facebook", B115="Twitter"), "Before", "NP"),
       "NP"))</f>
        <v>Before</v>
      </c>
      <c r="K115" t="str">
        <f>IF(AND(A115 &gt;= 'Task - Upliftment'!$E$5, A115 &lt;= 'Task - Upliftment'!$F$5, OR(B115="Instagram", B115="Twitter")),
    "Present",
    IF(A115 &lt; 'Task - Upliftment'!$E$5,
       IF(OR(B115="Instagram", B115="Twitter"), "Before", "NP"),
       "NP"))</f>
        <v>NP</v>
      </c>
    </row>
    <row r="116" spans="1:11" x14ac:dyDescent="0.3">
      <c r="A116" s="27" t="s">
        <v>112</v>
      </c>
      <c r="B116" s="5" t="s">
        <v>14</v>
      </c>
      <c r="C116" s="5">
        <v>1592</v>
      </c>
      <c r="D116" s="5">
        <v>233</v>
      </c>
      <c r="E116" s="5">
        <v>327183</v>
      </c>
      <c r="F116" s="5">
        <v>6.66</v>
      </c>
      <c r="G116" s="5">
        <v>13316</v>
      </c>
      <c r="H116" t="str">
        <f>IF(AND(A116 &gt;= 'Task - Upliftment'!$E$2, A116 &lt;= 'Task - Upliftment'!$F$2, OR(B116="Instagram", B116="Facebook")),
    "Present",
    IF(A116 &lt; 'Task - Upliftment'!$E$2,
       IF(OR(B116="Instagram", B116="Facebook"), "Before", "NP"),
       "NP"))</f>
        <v>NP</v>
      </c>
      <c r="I116" t="str">
        <f>IF(AND(A116 &gt;= 'Task - Upliftment'!$E$3, A116 &lt;= 'Task - Upliftment'!$F$3, OR(B116="Instagram", B116="YouTube")),
    "Present",
    IF(A116 &lt; 'Task - Upliftment'!$E$3,
       IF(OR(B116="Instagram", B116="YouTube"), "Before", "NP"),
       "NP"))</f>
        <v>NP</v>
      </c>
      <c r="J116" t="str">
        <f>IF(AND(A116 &gt;= 'Task - Upliftment'!$E$4, A116 &lt;= 'Task - Upliftment'!$F$4, OR(B116="Facebook", B116="Twitter")),
    "Present",
    IF(A116 &lt; 'Task - Upliftment'!$E$4,
       IF(OR(B116="Facebook", B116="Twitter"), "Before", "NP"),
       "NP"))</f>
        <v>Before</v>
      </c>
      <c r="K116" t="str">
        <f>IF(AND(A116 &gt;= 'Task - Upliftment'!$E$5, A116 &lt;= 'Task - Upliftment'!$F$5, OR(B116="Instagram", B116="Twitter")),
    "Present",
    IF(A116 &lt; 'Task - Upliftment'!$E$5,
       IF(OR(B116="Instagram", B116="Twitter"), "Before", "NP"),
       "NP"))</f>
        <v>Before</v>
      </c>
    </row>
    <row r="117" spans="1:11" x14ac:dyDescent="0.3">
      <c r="A117" s="27" t="s">
        <v>112</v>
      </c>
      <c r="B117" s="5" t="s">
        <v>27</v>
      </c>
      <c r="C117" s="5">
        <v>1004</v>
      </c>
      <c r="D117" s="5">
        <v>128</v>
      </c>
      <c r="E117" s="5">
        <v>488901</v>
      </c>
      <c r="F117" s="5">
        <v>8.09</v>
      </c>
      <c r="G117" s="5">
        <v>49558</v>
      </c>
      <c r="H117" t="str">
        <f>IF(AND(A117 &gt;= 'Task - Upliftment'!$E$2, A117 &lt;= 'Task - Upliftment'!$F$2, OR(B117="Instagram", B117="Facebook")),
    "Present",
    IF(A117 &lt; 'Task - Upliftment'!$E$2,
       IF(OR(B117="Instagram", B117="Facebook"), "Before", "NP"),
       "NP"))</f>
        <v>NP</v>
      </c>
      <c r="I117" t="str">
        <f>IF(AND(A117 &gt;= 'Task - Upliftment'!$E$3, A117 &lt;= 'Task - Upliftment'!$F$3, OR(B117="Instagram", B117="YouTube")),
    "Present",
    IF(A117 &lt; 'Task - Upliftment'!$E$3,
       IF(OR(B117="Instagram", B117="YouTube"), "Before", "NP"),
       "NP"))</f>
        <v>NP</v>
      </c>
      <c r="J117" t="str">
        <f>IF(AND(A117 &gt;= 'Task - Upliftment'!$E$4, A117 &lt;= 'Task - Upliftment'!$F$4, OR(B117="Facebook", B117="Twitter")),
    "Present",
    IF(A117 &lt; 'Task - Upliftment'!$E$4,
       IF(OR(B117="Facebook", B117="Twitter"), "Before", "NP"),
       "NP"))</f>
        <v>NP</v>
      </c>
      <c r="K117" t="str">
        <f>IF(AND(A117 &gt;= 'Task - Upliftment'!$E$5, A117 &lt;= 'Task - Upliftment'!$F$5, OR(B117="Instagram", B117="Twitter")),
    "Present",
    IF(A117 &lt; 'Task - Upliftment'!$E$5,
       IF(OR(B117="Instagram", B117="Twitter"), "Before", "NP"),
       "NP"))</f>
        <v>NP</v>
      </c>
    </row>
    <row r="118" spans="1:11" x14ac:dyDescent="0.3">
      <c r="A118" s="27" t="s">
        <v>15</v>
      </c>
      <c r="B118" s="5" t="s">
        <v>33</v>
      </c>
      <c r="C118" s="5">
        <v>1092</v>
      </c>
      <c r="D118" s="5">
        <v>408</v>
      </c>
      <c r="E118" s="5">
        <v>280795</v>
      </c>
      <c r="F118" s="5">
        <v>8.44</v>
      </c>
      <c r="G118" s="5">
        <v>4683</v>
      </c>
      <c r="H118" t="str">
        <f>IF(AND(A118 &gt;= 'Task - Upliftment'!$E$2, A118 &lt;= 'Task - Upliftment'!$F$2, OR(B118="Instagram", B118="Facebook")),
    "Present",
    IF(A118 &lt; 'Task - Upliftment'!$E$2,
       IF(OR(B118="Instagram", B118="Facebook"), "Before", "NP"),
       "NP"))</f>
        <v>NP</v>
      </c>
      <c r="I118" t="str">
        <f>IF(AND(A118 &gt;= 'Task - Upliftment'!$E$3, A118 &lt;= 'Task - Upliftment'!$F$3, OR(B118="Instagram", B118="YouTube")),
    "Present",
    IF(A118 &lt; 'Task - Upliftment'!$E$3,
       IF(OR(B118="Instagram", B118="YouTube"), "Before", "NP"),
       "NP"))</f>
        <v>NP</v>
      </c>
      <c r="J118" t="str">
        <f>IF(AND(A118 &gt;= 'Task - Upliftment'!$E$4, A118 &lt;= 'Task - Upliftment'!$F$4, OR(B118="Facebook", B118="Twitter")),
    "Present",
    IF(A118 &lt; 'Task - Upliftment'!$E$4,
       IF(OR(B118="Facebook", B118="Twitter"), "Before", "NP"),
       "NP"))</f>
        <v>NP</v>
      </c>
      <c r="K118" t="str">
        <f>IF(AND(A118 &gt;= 'Task - Upliftment'!$E$5, A118 &lt;= 'Task - Upliftment'!$F$5, OR(B118="Instagram", B118="Twitter")),
    "Present",
    IF(A118 &lt; 'Task - Upliftment'!$E$5,
       IF(OR(B118="Instagram", B118="Twitter"), "Before", "NP"),
       "NP"))</f>
        <v>Before</v>
      </c>
    </row>
    <row r="119" spans="1:11" x14ac:dyDescent="0.3">
      <c r="A119" s="27" t="s">
        <v>15</v>
      </c>
      <c r="B119" s="5" t="s">
        <v>43</v>
      </c>
      <c r="C119" s="5">
        <v>1155</v>
      </c>
      <c r="D119" s="5">
        <v>425</v>
      </c>
      <c r="E119" s="5">
        <v>93347</v>
      </c>
      <c r="F119" s="5">
        <v>2.02</v>
      </c>
      <c r="G119" s="5">
        <v>47502</v>
      </c>
      <c r="H119" t="str">
        <f>IF(AND(A119 &gt;= 'Task - Upliftment'!$E$2, A119 &lt;= 'Task - Upliftment'!$F$2, OR(B119="Instagram", B119="Facebook")),
    "Present",
    IF(A119 &lt; 'Task - Upliftment'!$E$2,
       IF(OR(B119="Instagram", B119="Facebook"), "Before", "NP"),
       "NP"))</f>
        <v>NP</v>
      </c>
      <c r="I119" t="str">
        <f>IF(AND(A119 &gt;= 'Task - Upliftment'!$E$3, A119 &lt;= 'Task - Upliftment'!$F$3, OR(B119="Instagram", B119="YouTube")),
    "Present",
    IF(A119 &lt; 'Task - Upliftment'!$E$3,
       IF(OR(B119="Instagram", B119="YouTube"), "Before", "NP"),
       "NP"))</f>
        <v>NP</v>
      </c>
      <c r="J119" t="str">
        <f>IF(AND(A119 &gt;= 'Task - Upliftment'!$E$4, A119 &lt;= 'Task - Upliftment'!$F$4, OR(B119="Facebook", B119="Twitter")),
    "Present",
    IF(A119 &lt; 'Task - Upliftment'!$E$4,
       IF(OR(B119="Facebook", B119="Twitter"), "Before", "NP"),
       "NP"))</f>
        <v>Before</v>
      </c>
      <c r="K119" t="str">
        <f>IF(AND(A119 &gt;= 'Task - Upliftment'!$E$5, A119 &lt;= 'Task - Upliftment'!$F$5, OR(B119="Instagram", B119="Twitter")),
    "Present",
    IF(A119 &lt; 'Task - Upliftment'!$E$5,
       IF(OR(B119="Instagram", B119="Twitter"), "Before", "NP"),
       "NP"))</f>
        <v>NP</v>
      </c>
    </row>
    <row r="120" spans="1:11" x14ac:dyDescent="0.3">
      <c r="A120" s="27" t="s">
        <v>15</v>
      </c>
      <c r="B120" s="5" t="s">
        <v>14</v>
      </c>
      <c r="C120" s="5">
        <v>1137</v>
      </c>
      <c r="D120" s="5">
        <v>226</v>
      </c>
      <c r="E120" s="5">
        <v>81119</v>
      </c>
      <c r="F120" s="5">
        <v>7.74</v>
      </c>
      <c r="G120" s="5">
        <v>35359</v>
      </c>
      <c r="H120" t="str">
        <f>IF(AND(A120 &gt;= 'Task - Upliftment'!$E$2, A120 &lt;= 'Task - Upliftment'!$F$2, OR(B120="Instagram", B120="Facebook")),
    "Present",
    IF(A120 &lt; 'Task - Upliftment'!$E$2,
       IF(OR(B120="Instagram", B120="Facebook"), "Before", "NP"),
       "NP"))</f>
        <v>NP</v>
      </c>
      <c r="I120" t="str">
        <f>IF(AND(A120 &gt;= 'Task - Upliftment'!$E$3, A120 &lt;= 'Task - Upliftment'!$F$3, OR(B120="Instagram", B120="YouTube")),
    "Present",
    IF(A120 &lt; 'Task - Upliftment'!$E$3,
       IF(OR(B120="Instagram", B120="YouTube"), "Before", "NP"),
       "NP"))</f>
        <v>NP</v>
      </c>
      <c r="J120" t="str">
        <f>IF(AND(A120 &gt;= 'Task - Upliftment'!$E$4, A120 &lt;= 'Task - Upliftment'!$F$4, OR(B120="Facebook", B120="Twitter")),
    "Present",
    IF(A120 &lt; 'Task - Upliftment'!$E$4,
       IF(OR(B120="Facebook", B120="Twitter"), "Before", "NP"),
       "NP"))</f>
        <v>Before</v>
      </c>
      <c r="K120" t="str">
        <f>IF(AND(A120 &gt;= 'Task - Upliftment'!$E$5, A120 &lt;= 'Task - Upliftment'!$F$5, OR(B120="Instagram", B120="Twitter")),
    "Present",
    IF(A120 &lt; 'Task - Upliftment'!$E$5,
       IF(OR(B120="Instagram", B120="Twitter"), "Before", "NP"),
       "NP"))</f>
        <v>Before</v>
      </c>
    </row>
    <row r="121" spans="1:11" x14ac:dyDescent="0.3">
      <c r="A121" s="27" t="s">
        <v>15</v>
      </c>
      <c r="B121" s="5" t="s">
        <v>27</v>
      </c>
      <c r="C121" s="5">
        <v>1900</v>
      </c>
      <c r="D121" s="5">
        <v>311</v>
      </c>
      <c r="E121" s="5">
        <v>25177</v>
      </c>
      <c r="F121" s="5">
        <v>2.89</v>
      </c>
      <c r="G121" s="5">
        <v>14154</v>
      </c>
      <c r="H121" t="str">
        <f>IF(AND(A121 &gt;= 'Task - Upliftment'!$E$2, A121 &lt;= 'Task - Upliftment'!$F$2, OR(B121="Instagram", B121="Facebook")),
    "Present",
    IF(A121 &lt; 'Task - Upliftment'!$E$2,
       IF(OR(B121="Instagram", B121="Facebook"), "Before", "NP"),
       "NP"))</f>
        <v>NP</v>
      </c>
      <c r="I121" t="str">
        <f>IF(AND(A121 &gt;= 'Task - Upliftment'!$E$3, A121 &lt;= 'Task - Upliftment'!$F$3, OR(B121="Instagram", B121="YouTube")),
    "Present",
    IF(A121 &lt; 'Task - Upliftment'!$E$3,
       IF(OR(B121="Instagram", B121="YouTube"), "Before", "NP"),
       "NP"))</f>
        <v>NP</v>
      </c>
      <c r="J121" t="str">
        <f>IF(AND(A121 &gt;= 'Task - Upliftment'!$E$4, A121 &lt;= 'Task - Upliftment'!$F$4, OR(B121="Facebook", B121="Twitter")),
    "Present",
    IF(A121 &lt; 'Task - Upliftment'!$E$4,
       IF(OR(B121="Facebook", B121="Twitter"), "Before", "NP"),
       "NP"))</f>
        <v>NP</v>
      </c>
      <c r="K121" t="str">
        <f>IF(AND(A121 &gt;= 'Task - Upliftment'!$E$5, A121 &lt;= 'Task - Upliftment'!$F$5, OR(B121="Instagram", B121="Twitter")),
    "Present",
    IF(A121 &lt; 'Task - Upliftment'!$E$5,
       IF(OR(B121="Instagram", B121="Twitter"), "Before", "NP"),
       "NP"))</f>
        <v>NP</v>
      </c>
    </row>
    <row r="122" spans="1:11" x14ac:dyDescent="0.3">
      <c r="A122" s="27" t="s">
        <v>613</v>
      </c>
      <c r="B122" s="5" t="s">
        <v>33</v>
      </c>
      <c r="C122" s="5">
        <v>1814</v>
      </c>
      <c r="D122" s="5">
        <v>49</v>
      </c>
      <c r="E122" s="5">
        <v>140804</v>
      </c>
      <c r="F122" s="5">
        <v>1.76</v>
      </c>
      <c r="G122" s="5">
        <v>4313</v>
      </c>
      <c r="H122" t="str">
        <f>IF(AND(A122 &gt;= 'Task - Upliftment'!$E$2, A122 &lt;= 'Task - Upliftment'!$F$2, OR(B122="Instagram", B122="Facebook")),
    "Present",
    IF(A122 &lt; 'Task - Upliftment'!$E$2,
       IF(OR(B122="Instagram", B122="Facebook"), "Before", "NP"),
       "NP"))</f>
        <v>NP</v>
      </c>
      <c r="I122" t="str">
        <f>IF(AND(A122 &gt;= 'Task - Upliftment'!$E$3, A122 &lt;= 'Task - Upliftment'!$F$3, OR(B122="Instagram", B122="YouTube")),
    "Present",
    IF(A122 &lt; 'Task - Upliftment'!$E$3,
       IF(OR(B122="Instagram", B122="YouTube"), "Before", "NP"),
       "NP"))</f>
        <v>NP</v>
      </c>
      <c r="J122" t="str">
        <f>IF(AND(A122 &gt;= 'Task - Upliftment'!$E$4, A122 &lt;= 'Task - Upliftment'!$F$4, OR(B122="Facebook", B122="Twitter")),
    "Present",
    IF(A122 &lt; 'Task - Upliftment'!$E$4,
       IF(OR(B122="Facebook", B122="Twitter"), "Before", "NP"),
       "NP"))</f>
        <v>NP</v>
      </c>
      <c r="K122" t="str">
        <f>IF(AND(A122 &gt;= 'Task - Upliftment'!$E$5, A122 &lt;= 'Task - Upliftment'!$F$5, OR(B122="Instagram", B122="Twitter")),
    "Present",
    IF(A122 &lt; 'Task - Upliftment'!$E$5,
       IF(OR(B122="Instagram", B122="Twitter"), "Before", "NP"),
       "NP"))</f>
        <v>Before</v>
      </c>
    </row>
    <row r="123" spans="1:11" x14ac:dyDescent="0.3">
      <c r="A123" s="27" t="s">
        <v>613</v>
      </c>
      <c r="B123" s="5" t="s">
        <v>43</v>
      </c>
      <c r="C123" s="5">
        <v>1980</v>
      </c>
      <c r="D123" s="5">
        <v>204</v>
      </c>
      <c r="E123" s="5">
        <v>379431</v>
      </c>
      <c r="F123" s="5">
        <v>3.09</v>
      </c>
      <c r="G123" s="5">
        <v>25140</v>
      </c>
      <c r="H123" t="str">
        <f>IF(AND(A123 &gt;= 'Task - Upliftment'!$E$2, A123 &lt;= 'Task - Upliftment'!$F$2, OR(B123="Instagram", B123="Facebook")),
    "Present",
    IF(A123 &lt; 'Task - Upliftment'!$E$2,
       IF(OR(B123="Instagram", B123="Facebook"), "Before", "NP"),
       "NP"))</f>
        <v>NP</v>
      </c>
      <c r="I123" t="str">
        <f>IF(AND(A123 &gt;= 'Task - Upliftment'!$E$3, A123 &lt;= 'Task - Upliftment'!$F$3, OR(B123="Instagram", B123="YouTube")),
    "Present",
    IF(A123 &lt; 'Task - Upliftment'!$E$3,
       IF(OR(B123="Instagram", B123="YouTube"), "Before", "NP"),
       "NP"))</f>
        <v>NP</v>
      </c>
      <c r="J123" t="str">
        <f>IF(AND(A123 &gt;= 'Task - Upliftment'!$E$4, A123 &lt;= 'Task - Upliftment'!$F$4, OR(B123="Facebook", B123="Twitter")),
    "Present",
    IF(A123 &lt; 'Task - Upliftment'!$E$4,
       IF(OR(B123="Facebook", B123="Twitter"), "Before", "NP"),
       "NP"))</f>
        <v>Present</v>
      </c>
      <c r="K123" t="str">
        <f>IF(AND(A123 &gt;= 'Task - Upliftment'!$E$5, A123 &lt;= 'Task - Upliftment'!$F$5, OR(B123="Instagram", B123="Twitter")),
    "Present",
    IF(A123 &lt; 'Task - Upliftment'!$E$5,
       IF(OR(B123="Instagram", B123="Twitter"), "Before", "NP"),
       "NP"))</f>
        <v>NP</v>
      </c>
    </row>
    <row r="124" spans="1:11" x14ac:dyDescent="0.3">
      <c r="A124" s="27" t="s">
        <v>613</v>
      </c>
      <c r="B124" s="5" t="s">
        <v>14</v>
      </c>
      <c r="C124" s="5">
        <v>1786</v>
      </c>
      <c r="D124" s="5">
        <v>257</v>
      </c>
      <c r="E124" s="5">
        <v>274831</v>
      </c>
      <c r="F124" s="5">
        <v>4.68</v>
      </c>
      <c r="G124" s="5">
        <v>9118</v>
      </c>
      <c r="H124" t="str">
        <f>IF(AND(A124 &gt;= 'Task - Upliftment'!$E$2, A124 &lt;= 'Task - Upliftment'!$F$2, OR(B124="Instagram", B124="Facebook")),
    "Present",
    IF(A124 &lt; 'Task - Upliftment'!$E$2,
       IF(OR(B124="Instagram", B124="Facebook"), "Before", "NP"),
       "NP"))</f>
        <v>NP</v>
      </c>
      <c r="I124" t="str">
        <f>IF(AND(A124 &gt;= 'Task - Upliftment'!$E$3, A124 &lt;= 'Task - Upliftment'!$F$3, OR(B124="Instagram", B124="YouTube")),
    "Present",
    IF(A124 &lt; 'Task - Upliftment'!$E$3,
       IF(OR(B124="Instagram", B124="YouTube"), "Before", "NP"),
       "NP"))</f>
        <v>NP</v>
      </c>
      <c r="J124" t="str">
        <f>IF(AND(A124 &gt;= 'Task - Upliftment'!$E$4, A124 &lt;= 'Task - Upliftment'!$F$4, OR(B124="Facebook", B124="Twitter")),
    "Present",
    IF(A124 &lt; 'Task - Upliftment'!$E$4,
       IF(OR(B124="Facebook", B124="Twitter"), "Before", "NP"),
       "NP"))</f>
        <v>Present</v>
      </c>
      <c r="K124" t="str">
        <f>IF(AND(A124 &gt;= 'Task - Upliftment'!$E$5, A124 &lt;= 'Task - Upliftment'!$F$5, OR(B124="Instagram", B124="Twitter")),
    "Present",
    IF(A124 &lt; 'Task - Upliftment'!$E$5,
       IF(OR(B124="Instagram", B124="Twitter"), "Before", "NP"),
       "NP"))</f>
        <v>Before</v>
      </c>
    </row>
    <row r="125" spans="1:11" x14ac:dyDescent="0.3">
      <c r="A125" s="27" t="s">
        <v>613</v>
      </c>
      <c r="B125" s="5" t="s">
        <v>27</v>
      </c>
      <c r="C125" s="5">
        <v>1495</v>
      </c>
      <c r="D125" s="5">
        <v>35</v>
      </c>
      <c r="E125" s="5">
        <v>136845</v>
      </c>
      <c r="F125" s="5">
        <v>4.4800000000000004</v>
      </c>
      <c r="G125" s="5">
        <v>39931</v>
      </c>
      <c r="H125" t="str">
        <f>IF(AND(A125 &gt;= 'Task - Upliftment'!$E$2, A125 &lt;= 'Task - Upliftment'!$F$2, OR(B125="Instagram", B125="Facebook")),
    "Present",
    IF(A125 &lt; 'Task - Upliftment'!$E$2,
       IF(OR(B125="Instagram", B125="Facebook"), "Before", "NP"),
       "NP"))</f>
        <v>NP</v>
      </c>
      <c r="I125" t="str">
        <f>IF(AND(A125 &gt;= 'Task - Upliftment'!$E$3, A125 &lt;= 'Task - Upliftment'!$F$3, OR(B125="Instagram", B125="YouTube")),
    "Present",
    IF(A125 &lt; 'Task - Upliftment'!$E$3,
       IF(OR(B125="Instagram", B125="YouTube"), "Before", "NP"),
       "NP"))</f>
        <v>NP</v>
      </c>
      <c r="J125" t="str">
        <f>IF(AND(A125 &gt;= 'Task - Upliftment'!$E$4, A125 &lt;= 'Task - Upliftment'!$F$4, OR(B125="Facebook", B125="Twitter")),
    "Present",
    IF(A125 &lt; 'Task - Upliftment'!$E$4,
       IF(OR(B125="Facebook", B125="Twitter"), "Before", "NP"),
       "NP"))</f>
        <v>NP</v>
      </c>
      <c r="K125" t="str">
        <f>IF(AND(A125 &gt;= 'Task - Upliftment'!$E$5, A125 &lt;= 'Task - Upliftment'!$F$5, OR(B125="Instagram", B125="Twitter")),
    "Present",
    IF(A125 &lt; 'Task - Upliftment'!$E$5,
       IF(OR(B125="Instagram", B125="Twitter"), "Before", "NP"),
       "NP"))</f>
        <v>NP</v>
      </c>
    </row>
    <row r="126" spans="1:11" x14ac:dyDescent="0.3">
      <c r="A126" s="27" t="s">
        <v>125</v>
      </c>
      <c r="B126" s="5" t="s">
        <v>33</v>
      </c>
      <c r="C126" s="5">
        <v>1013</v>
      </c>
      <c r="D126" s="5">
        <v>110</v>
      </c>
      <c r="E126" s="5">
        <v>466382</v>
      </c>
      <c r="F126" s="5">
        <v>5.3</v>
      </c>
      <c r="G126" s="5">
        <v>37132</v>
      </c>
      <c r="H126" t="str">
        <f>IF(AND(A126 &gt;= 'Task - Upliftment'!$E$2, A126 &lt;= 'Task - Upliftment'!$F$2, OR(B126="Instagram", B126="Facebook")),
    "Present",
    IF(A126 &lt; 'Task - Upliftment'!$E$2,
       IF(OR(B126="Instagram", B126="Facebook"), "Before", "NP"),
       "NP"))</f>
        <v>NP</v>
      </c>
      <c r="I126" t="str">
        <f>IF(AND(A126 &gt;= 'Task - Upliftment'!$E$3, A126 &lt;= 'Task - Upliftment'!$F$3, OR(B126="Instagram", B126="YouTube")),
    "Present",
    IF(A126 &lt; 'Task - Upliftment'!$E$3,
       IF(OR(B126="Instagram", B126="YouTube"), "Before", "NP"),
       "NP"))</f>
        <v>NP</v>
      </c>
      <c r="J126" t="str">
        <f>IF(AND(A126 &gt;= 'Task - Upliftment'!$E$4, A126 &lt;= 'Task - Upliftment'!$F$4, OR(B126="Facebook", B126="Twitter")),
    "Present",
    IF(A126 &lt; 'Task - Upliftment'!$E$4,
       IF(OR(B126="Facebook", B126="Twitter"), "Before", "NP"),
       "NP"))</f>
        <v>NP</v>
      </c>
      <c r="K126" t="str">
        <f>IF(AND(A126 &gt;= 'Task - Upliftment'!$E$5, A126 &lt;= 'Task - Upliftment'!$F$5, OR(B126="Instagram", B126="Twitter")),
    "Present",
    IF(A126 &lt; 'Task - Upliftment'!$E$5,
       IF(OR(B126="Instagram", B126="Twitter"), "Before", "NP"),
       "NP"))</f>
        <v>Before</v>
      </c>
    </row>
    <row r="127" spans="1:11" x14ac:dyDescent="0.3">
      <c r="A127" s="27" t="s">
        <v>125</v>
      </c>
      <c r="B127" s="5" t="s">
        <v>43</v>
      </c>
      <c r="C127" s="5">
        <v>816</v>
      </c>
      <c r="D127" s="5">
        <v>196</v>
      </c>
      <c r="E127" s="5">
        <v>95728</v>
      </c>
      <c r="F127" s="5">
        <v>8.1999999999999993</v>
      </c>
      <c r="G127" s="5">
        <v>17951</v>
      </c>
      <c r="H127" t="str">
        <f>IF(AND(A127 &gt;= 'Task - Upliftment'!$E$2, A127 &lt;= 'Task - Upliftment'!$F$2, OR(B127="Instagram", B127="Facebook")),
    "Present",
    IF(A127 &lt; 'Task - Upliftment'!$E$2,
       IF(OR(B127="Instagram", B127="Facebook"), "Before", "NP"),
       "NP"))</f>
        <v>NP</v>
      </c>
      <c r="I127" t="str">
        <f>IF(AND(A127 &gt;= 'Task - Upliftment'!$E$3, A127 &lt;= 'Task - Upliftment'!$F$3, OR(B127="Instagram", B127="YouTube")),
    "Present",
    IF(A127 &lt; 'Task - Upliftment'!$E$3,
       IF(OR(B127="Instagram", B127="YouTube"), "Before", "NP"),
       "NP"))</f>
        <v>NP</v>
      </c>
      <c r="J127" t="str">
        <f>IF(AND(A127 &gt;= 'Task - Upliftment'!$E$4, A127 &lt;= 'Task - Upliftment'!$F$4, OR(B127="Facebook", B127="Twitter")),
    "Present",
    IF(A127 &lt; 'Task - Upliftment'!$E$4,
       IF(OR(B127="Facebook", B127="Twitter"), "Before", "NP"),
       "NP"))</f>
        <v>Present</v>
      </c>
      <c r="K127" t="str">
        <f>IF(AND(A127 &gt;= 'Task - Upliftment'!$E$5, A127 &lt;= 'Task - Upliftment'!$F$5, OR(B127="Instagram", B127="Twitter")),
    "Present",
    IF(A127 &lt; 'Task - Upliftment'!$E$5,
       IF(OR(B127="Instagram", B127="Twitter"), "Before", "NP"),
       "NP"))</f>
        <v>NP</v>
      </c>
    </row>
    <row r="128" spans="1:11" x14ac:dyDescent="0.3">
      <c r="A128" s="27" t="s">
        <v>125</v>
      </c>
      <c r="B128" s="5" t="s">
        <v>14</v>
      </c>
      <c r="C128" s="5">
        <v>1633</v>
      </c>
      <c r="D128" s="5">
        <v>445</v>
      </c>
      <c r="E128" s="5">
        <v>371156</v>
      </c>
      <c r="F128" s="5">
        <v>2.2200000000000002</v>
      </c>
      <c r="G128" s="5">
        <v>2798</v>
      </c>
      <c r="H128" t="str">
        <f>IF(AND(A128 &gt;= 'Task - Upliftment'!$E$2, A128 &lt;= 'Task - Upliftment'!$F$2, OR(B128="Instagram", B128="Facebook")),
    "Present",
    IF(A128 &lt; 'Task - Upliftment'!$E$2,
       IF(OR(B128="Instagram", B128="Facebook"), "Before", "NP"),
       "NP"))</f>
        <v>NP</v>
      </c>
      <c r="I128" t="str">
        <f>IF(AND(A128 &gt;= 'Task - Upliftment'!$E$3, A128 &lt;= 'Task - Upliftment'!$F$3, OR(B128="Instagram", B128="YouTube")),
    "Present",
    IF(A128 &lt; 'Task - Upliftment'!$E$3,
       IF(OR(B128="Instagram", B128="YouTube"), "Before", "NP"),
       "NP"))</f>
        <v>NP</v>
      </c>
      <c r="J128" t="str">
        <f>IF(AND(A128 &gt;= 'Task - Upliftment'!$E$4, A128 &lt;= 'Task - Upliftment'!$F$4, OR(B128="Facebook", B128="Twitter")),
    "Present",
    IF(A128 &lt; 'Task - Upliftment'!$E$4,
       IF(OR(B128="Facebook", B128="Twitter"), "Before", "NP"),
       "NP"))</f>
        <v>Present</v>
      </c>
      <c r="K128" t="str">
        <f>IF(AND(A128 &gt;= 'Task - Upliftment'!$E$5, A128 &lt;= 'Task - Upliftment'!$F$5, OR(B128="Instagram", B128="Twitter")),
    "Present",
    IF(A128 &lt; 'Task - Upliftment'!$E$5,
       IF(OR(B128="Instagram", B128="Twitter"), "Before", "NP"),
       "NP"))</f>
        <v>Before</v>
      </c>
    </row>
    <row r="129" spans="1:11" x14ac:dyDescent="0.3">
      <c r="A129" s="27" t="s">
        <v>125</v>
      </c>
      <c r="B129" s="5" t="s">
        <v>27</v>
      </c>
      <c r="C129" s="5">
        <v>891</v>
      </c>
      <c r="D129" s="5">
        <v>45</v>
      </c>
      <c r="E129" s="5">
        <v>95410</v>
      </c>
      <c r="F129" s="5">
        <v>8.33</v>
      </c>
      <c r="G129" s="5">
        <v>15045</v>
      </c>
      <c r="H129" t="str">
        <f>IF(AND(A129 &gt;= 'Task - Upliftment'!$E$2, A129 &lt;= 'Task - Upliftment'!$F$2, OR(B129="Instagram", B129="Facebook")),
    "Present",
    IF(A129 &lt; 'Task - Upliftment'!$E$2,
       IF(OR(B129="Instagram", B129="Facebook"), "Before", "NP"),
       "NP"))</f>
        <v>NP</v>
      </c>
      <c r="I129" t="str">
        <f>IF(AND(A129 &gt;= 'Task - Upliftment'!$E$3, A129 &lt;= 'Task - Upliftment'!$F$3, OR(B129="Instagram", B129="YouTube")),
    "Present",
    IF(A129 &lt; 'Task - Upliftment'!$E$3,
       IF(OR(B129="Instagram", B129="YouTube"), "Before", "NP"),
       "NP"))</f>
        <v>NP</v>
      </c>
      <c r="J129" t="str">
        <f>IF(AND(A129 &gt;= 'Task - Upliftment'!$E$4, A129 &lt;= 'Task - Upliftment'!$F$4, OR(B129="Facebook", B129="Twitter")),
    "Present",
    IF(A129 &lt; 'Task - Upliftment'!$E$4,
       IF(OR(B129="Facebook", B129="Twitter"), "Before", "NP"),
       "NP"))</f>
        <v>NP</v>
      </c>
      <c r="K129" t="str">
        <f>IF(AND(A129 &gt;= 'Task - Upliftment'!$E$5, A129 &lt;= 'Task - Upliftment'!$F$5, OR(B129="Instagram", B129="Twitter")),
    "Present",
    IF(A129 &lt; 'Task - Upliftment'!$E$5,
       IF(OR(B129="Instagram", B129="Twitter"), "Before", "NP"),
       "NP"))</f>
        <v>NP</v>
      </c>
    </row>
    <row r="130" spans="1:11" x14ac:dyDescent="0.3">
      <c r="A130" s="27" t="s">
        <v>614</v>
      </c>
      <c r="B130" s="5" t="s">
        <v>33</v>
      </c>
      <c r="C130" s="5">
        <v>1855</v>
      </c>
      <c r="D130" s="5">
        <v>133</v>
      </c>
      <c r="E130" s="5">
        <v>349413</v>
      </c>
      <c r="F130" s="5">
        <v>3.3</v>
      </c>
      <c r="G130" s="5">
        <v>14548</v>
      </c>
      <c r="H130" t="str">
        <f>IF(AND(A130 &gt;= 'Task - Upliftment'!$E$2, A130 &lt;= 'Task - Upliftment'!$F$2, OR(B130="Instagram", B130="Facebook")),
    "Present",
    IF(A130 &lt; 'Task - Upliftment'!$E$2,
       IF(OR(B130="Instagram", B130="Facebook"), "Before", "NP"),
       "NP"))</f>
        <v>NP</v>
      </c>
      <c r="I130" t="str">
        <f>IF(AND(A130 &gt;= 'Task - Upliftment'!$E$3, A130 &lt;= 'Task - Upliftment'!$F$3, OR(B130="Instagram", B130="YouTube")),
    "Present",
    IF(A130 &lt; 'Task - Upliftment'!$E$3,
       IF(OR(B130="Instagram", B130="YouTube"), "Before", "NP"),
       "NP"))</f>
        <v>NP</v>
      </c>
      <c r="J130" t="str">
        <f>IF(AND(A130 &gt;= 'Task - Upliftment'!$E$4, A130 &lt;= 'Task - Upliftment'!$F$4, OR(B130="Facebook", B130="Twitter")),
    "Present",
    IF(A130 &lt; 'Task - Upliftment'!$E$4,
       IF(OR(B130="Facebook", B130="Twitter"), "Before", "NP"),
       "NP"))</f>
        <v>NP</v>
      </c>
      <c r="K130" t="str">
        <f>IF(AND(A130 &gt;= 'Task - Upliftment'!$E$5, A130 &lt;= 'Task - Upliftment'!$F$5, OR(B130="Instagram", B130="Twitter")),
    "Present",
    IF(A130 &lt; 'Task - Upliftment'!$E$5,
       IF(OR(B130="Instagram", B130="Twitter"), "Before", "NP"),
       "NP"))</f>
        <v>Before</v>
      </c>
    </row>
    <row r="131" spans="1:11" x14ac:dyDescent="0.3">
      <c r="A131" s="27" t="s">
        <v>614</v>
      </c>
      <c r="B131" s="5" t="s">
        <v>43</v>
      </c>
      <c r="C131" s="5">
        <v>651</v>
      </c>
      <c r="D131" s="5">
        <v>353</v>
      </c>
      <c r="E131" s="5">
        <v>224699</v>
      </c>
      <c r="F131" s="5">
        <v>5.61</v>
      </c>
      <c r="G131" s="5">
        <v>45708</v>
      </c>
      <c r="H131" t="str">
        <f>IF(AND(A131 &gt;= 'Task - Upliftment'!$E$2, A131 &lt;= 'Task - Upliftment'!$F$2, OR(B131="Instagram", B131="Facebook")),
    "Present",
    IF(A131 &lt; 'Task - Upliftment'!$E$2,
       IF(OR(B131="Instagram", B131="Facebook"), "Before", "NP"),
       "NP"))</f>
        <v>NP</v>
      </c>
      <c r="I131" t="str">
        <f>IF(AND(A131 &gt;= 'Task - Upliftment'!$E$3, A131 &lt;= 'Task - Upliftment'!$F$3, OR(B131="Instagram", B131="YouTube")),
    "Present",
    IF(A131 &lt; 'Task - Upliftment'!$E$3,
       IF(OR(B131="Instagram", B131="YouTube"), "Before", "NP"),
       "NP"))</f>
        <v>NP</v>
      </c>
      <c r="J131" t="str">
        <f>IF(AND(A131 &gt;= 'Task - Upliftment'!$E$4, A131 &lt;= 'Task - Upliftment'!$F$4, OR(B131="Facebook", B131="Twitter")),
    "Present",
    IF(A131 &lt; 'Task - Upliftment'!$E$4,
       IF(OR(B131="Facebook", B131="Twitter"), "Before", "NP"),
       "NP"))</f>
        <v>NP</v>
      </c>
      <c r="K131" t="str">
        <f>IF(AND(A131 &gt;= 'Task - Upliftment'!$E$5, A131 &lt;= 'Task - Upliftment'!$F$5, OR(B131="Instagram", B131="Twitter")),
    "Present",
    IF(A131 &lt; 'Task - Upliftment'!$E$5,
       IF(OR(B131="Instagram", B131="Twitter"), "Before", "NP"),
       "NP"))</f>
        <v>NP</v>
      </c>
    </row>
    <row r="132" spans="1:11" x14ac:dyDescent="0.3">
      <c r="A132" s="27" t="s">
        <v>614</v>
      </c>
      <c r="B132" s="5" t="s">
        <v>14</v>
      </c>
      <c r="C132" s="5">
        <v>118</v>
      </c>
      <c r="D132" s="5">
        <v>262</v>
      </c>
      <c r="E132" s="5">
        <v>487896</v>
      </c>
      <c r="F132" s="5">
        <v>2.56</v>
      </c>
      <c r="G132" s="5">
        <v>12350</v>
      </c>
      <c r="H132" t="str">
        <f>IF(AND(A132 &gt;= 'Task - Upliftment'!$E$2, A132 &lt;= 'Task - Upliftment'!$F$2, OR(B132="Instagram", B132="Facebook")),
    "Present",
    IF(A132 &lt; 'Task - Upliftment'!$E$2,
       IF(OR(B132="Instagram", B132="Facebook"), "Before", "NP"),
       "NP"))</f>
        <v>NP</v>
      </c>
      <c r="I132" t="str">
        <f>IF(AND(A132 &gt;= 'Task - Upliftment'!$E$3, A132 &lt;= 'Task - Upliftment'!$F$3, OR(B132="Instagram", B132="YouTube")),
    "Present",
    IF(A132 &lt; 'Task - Upliftment'!$E$3,
       IF(OR(B132="Instagram", B132="YouTube"), "Before", "NP"),
       "NP"))</f>
        <v>NP</v>
      </c>
      <c r="J132" t="str">
        <f>IF(AND(A132 &gt;= 'Task - Upliftment'!$E$4, A132 &lt;= 'Task - Upliftment'!$F$4, OR(B132="Facebook", B132="Twitter")),
    "Present",
    IF(A132 &lt; 'Task - Upliftment'!$E$4,
       IF(OR(B132="Facebook", B132="Twitter"), "Before", "NP"),
       "NP"))</f>
        <v>NP</v>
      </c>
      <c r="K132" t="str">
        <f>IF(AND(A132 &gt;= 'Task - Upliftment'!$E$5, A132 &lt;= 'Task - Upliftment'!$F$5, OR(B132="Instagram", B132="Twitter")),
    "Present",
    IF(A132 &lt; 'Task - Upliftment'!$E$5,
       IF(OR(B132="Instagram", B132="Twitter"), "Before", "NP"),
       "NP"))</f>
        <v>Before</v>
      </c>
    </row>
    <row r="133" spans="1:11" x14ac:dyDescent="0.3">
      <c r="A133" s="27" t="s">
        <v>614</v>
      </c>
      <c r="B133" s="5" t="s">
        <v>27</v>
      </c>
      <c r="C133" s="5">
        <v>1331</v>
      </c>
      <c r="D133" s="5">
        <v>430</v>
      </c>
      <c r="E133" s="5">
        <v>14437</v>
      </c>
      <c r="F133" s="5">
        <v>3.29</v>
      </c>
      <c r="G133" s="5">
        <v>40868</v>
      </c>
      <c r="H133" t="str">
        <f>IF(AND(A133 &gt;= 'Task - Upliftment'!$E$2, A133 &lt;= 'Task - Upliftment'!$F$2, OR(B133="Instagram", B133="Facebook")),
    "Present",
    IF(A133 &lt; 'Task - Upliftment'!$E$2,
       IF(OR(B133="Instagram", B133="Facebook"), "Before", "NP"),
       "NP"))</f>
        <v>NP</v>
      </c>
      <c r="I133" t="str">
        <f>IF(AND(A133 &gt;= 'Task - Upliftment'!$E$3, A133 &lt;= 'Task - Upliftment'!$F$3, OR(B133="Instagram", B133="YouTube")),
    "Present",
    IF(A133 &lt; 'Task - Upliftment'!$E$3,
       IF(OR(B133="Instagram", B133="YouTube"), "Before", "NP"),
       "NP"))</f>
        <v>NP</v>
      </c>
      <c r="J133" t="str">
        <f>IF(AND(A133 &gt;= 'Task - Upliftment'!$E$4, A133 &lt;= 'Task - Upliftment'!$F$4, OR(B133="Facebook", B133="Twitter")),
    "Present",
    IF(A133 &lt; 'Task - Upliftment'!$E$4,
       IF(OR(B133="Facebook", B133="Twitter"), "Before", "NP"),
       "NP"))</f>
        <v>NP</v>
      </c>
      <c r="K133" t="str">
        <f>IF(AND(A133 &gt;= 'Task - Upliftment'!$E$5, A133 &lt;= 'Task - Upliftment'!$F$5, OR(B133="Instagram", B133="Twitter")),
    "Present",
    IF(A133 &lt; 'Task - Upliftment'!$E$5,
       IF(OR(B133="Instagram", B133="Twitter"), "Before", "NP"),
       "NP"))</f>
        <v>NP</v>
      </c>
    </row>
    <row r="134" spans="1:11" x14ac:dyDescent="0.3">
      <c r="A134" s="27" t="s">
        <v>615</v>
      </c>
      <c r="B134" s="5" t="s">
        <v>33</v>
      </c>
      <c r="C134" s="5">
        <v>1748</v>
      </c>
      <c r="D134" s="5">
        <v>176</v>
      </c>
      <c r="E134" s="5">
        <v>383681</v>
      </c>
      <c r="F134" s="5">
        <v>9.24</v>
      </c>
      <c r="G134" s="5">
        <v>43122</v>
      </c>
      <c r="H134" t="str">
        <f>IF(AND(A134 &gt;= 'Task - Upliftment'!$E$2, A134 &lt;= 'Task - Upliftment'!$F$2, OR(B134="Instagram", B134="Facebook")),
    "Present",
    IF(A134 &lt; 'Task - Upliftment'!$E$2,
       IF(OR(B134="Instagram", B134="Facebook"), "Before", "NP"),
       "NP"))</f>
        <v>NP</v>
      </c>
      <c r="I134" t="str">
        <f>IF(AND(A134 &gt;= 'Task - Upliftment'!$E$3, A134 &lt;= 'Task - Upliftment'!$F$3, OR(B134="Instagram", B134="YouTube")),
    "Present",
    IF(A134 &lt; 'Task - Upliftment'!$E$3,
       IF(OR(B134="Instagram", B134="YouTube"), "Before", "NP"),
       "NP"))</f>
        <v>NP</v>
      </c>
      <c r="J134" t="str">
        <f>IF(AND(A134 &gt;= 'Task - Upliftment'!$E$4, A134 &lt;= 'Task - Upliftment'!$F$4, OR(B134="Facebook", B134="Twitter")),
    "Present",
    IF(A134 &lt; 'Task - Upliftment'!$E$4,
       IF(OR(B134="Facebook", B134="Twitter"), "Before", "NP"),
       "NP"))</f>
        <v>NP</v>
      </c>
      <c r="K134" t="str">
        <f>IF(AND(A134 &gt;= 'Task - Upliftment'!$E$5, A134 &lt;= 'Task - Upliftment'!$F$5, OR(B134="Instagram", B134="Twitter")),
    "Present",
    IF(A134 &lt; 'Task - Upliftment'!$E$5,
       IF(OR(B134="Instagram", B134="Twitter"), "Before", "NP"),
       "NP"))</f>
        <v>Before</v>
      </c>
    </row>
    <row r="135" spans="1:11" x14ac:dyDescent="0.3">
      <c r="A135" s="27" t="s">
        <v>615</v>
      </c>
      <c r="B135" s="5" t="s">
        <v>43</v>
      </c>
      <c r="C135" s="5">
        <v>663</v>
      </c>
      <c r="D135" s="5">
        <v>236</v>
      </c>
      <c r="E135" s="5">
        <v>479490</v>
      </c>
      <c r="F135" s="5">
        <v>4.51</v>
      </c>
      <c r="G135" s="5">
        <v>23853</v>
      </c>
      <c r="H135" t="str">
        <f>IF(AND(A135 &gt;= 'Task - Upliftment'!$E$2, A135 &lt;= 'Task - Upliftment'!$F$2, OR(B135="Instagram", B135="Facebook")),
    "Present",
    IF(A135 &lt; 'Task - Upliftment'!$E$2,
       IF(OR(B135="Instagram", B135="Facebook"), "Before", "NP"),
       "NP"))</f>
        <v>NP</v>
      </c>
      <c r="I135" t="str">
        <f>IF(AND(A135 &gt;= 'Task - Upliftment'!$E$3, A135 &lt;= 'Task - Upliftment'!$F$3, OR(B135="Instagram", B135="YouTube")),
    "Present",
    IF(A135 &lt; 'Task - Upliftment'!$E$3,
       IF(OR(B135="Instagram", B135="YouTube"), "Before", "NP"),
       "NP"))</f>
        <v>NP</v>
      </c>
      <c r="J135" t="str">
        <f>IF(AND(A135 &gt;= 'Task - Upliftment'!$E$4, A135 &lt;= 'Task - Upliftment'!$F$4, OR(B135="Facebook", B135="Twitter")),
    "Present",
    IF(A135 &lt; 'Task - Upliftment'!$E$4,
       IF(OR(B135="Facebook", B135="Twitter"), "Before", "NP"),
       "NP"))</f>
        <v>NP</v>
      </c>
      <c r="K135" t="str">
        <f>IF(AND(A135 &gt;= 'Task - Upliftment'!$E$5, A135 &lt;= 'Task - Upliftment'!$F$5, OR(B135="Instagram", B135="Twitter")),
    "Present",
    IF(A135 &lt; 'Task - Upliftment'!$E$5,
       IF(OR(B135="Instagram", B135="Twitter"), "Before", "NP"),
       "NP"))</f>
        <v>NP</v>
      </c>
    </row>
    <row r="136" spans="1:11" x14ac:dyDescent="0.3">
      <c r="A136" s="27" t="s">
        <v>615</v>
      </c>
      <c r="B136" s="5" t="s">
        <v>14</v>
      </c>
      <c r="C136" s="5">
        <v>1040</v>
      </c>
      <c r="D136" s="5">
        <v>149</v>
      </c>
      <c r="E136" s="5">
        <v>124404</v>
      </c>
      <c r="F136" s="5">
        <v>5.23</v>
      </c>
      <c r="G136" s="5">
        <v>45380</v>
      </c>
      <c r="H136" t="str">
        <f>IF(AND(A136 &gt;= 'Task - Upliftment'!$E$2, A136 &lt;= 'Task - Upliftment'!$F$2, OR(B136="Instagram", B136="Facebook")),
    "Present",
    IF(A136 &lt; 'Task - Upliftment'!$E$2,
       IF(OR(B136="Instagram", B136="Facebook"), "Before", "NP"),
       "NP"))</f>
        <v>NP</v>
      </c>
      <c r="I136" t="str">
        <f>IF(AND(A136 &gt;= 'Task - Upliftment'!$E$3, A136 &lt;= 'Task - Upliftment'!$F$3, OR(B136="Instagram", B136="YouTube")),
    "Present",
    IF(A136 &lt; 'Task - Upliftment'!$E$3,
       IF(OR(B136="Instagram", B136="YouTube"), "Before", "NP"),
       "NP"))</f>
        <v>NP</v>
      </c>
      <c r="J136" t="str">
        <f>IF(AND(A136 &gt;= 'Task - Upliftment'!$E$4, A136 &lt;= 'Task - Upliftment'!$F$4, OR(B136="Facebook", B136="Twitter")),
    "Present",
    IF(A136 &lt; 'Task - Upliftment'!$E$4,
       IF(OR(B136="Facebook", B136="Twitter"), "Before", "NP"),
       "NP"))</f>
        <v>NP</v>
      </c>
      <c r="K136" t="str">
        <f>IF(AND(A136 &gt;= 'Task - Upliftment'!$E$5, A136 &lt;= 'Task - Upliftment'!$F$5, OR(B136="Instagram", B136="Twitter")),
    "Present",
    IF(A136 &lt; 'Task - Upliftment'!$E$5,
       IF(OR(B136="Instagram", B136="Twitter"), "Before", "NP"),
       "NP"))</f>
        <v>Before</v>
      </c>
    </row>
    <row r="137" spans="1:11" x14ac:dyDescent="0.3">
      <c r="A137" s="27" t="s">
        <v>615</v>
      </c>
      <c r="B137" s="5" t="s">
        <v>27</v>
      </c>
      <c r="C137" s="5">
        <v>1166</v>
      </c>
      <c r="D137" s="5">
        <v>442</v>
      </c>
      <c r="E137" s="5">
        <v>336949</v>
      </c>
      <c r="F137" s="5">
        <v>4.68</v>
      </c>
      <c r="G137" s="5">
        <v>7705</v>
      </c>
      <c r="H137" t="str">
        <f>IF(AND(A137 &gt;= 'Task - Upliftment'!$E$2, A137 &lt;= 'Task - Upliftment'!$F$2, OR(B137="Instagram", B137="Facebook")),
    "Present",
    IF(A137 &lt; 'Task - Upliftment'!$E$2,
       IF(OR(B137="Instagram", B137="Facebook"), "Before", "NP"),
       "NP"))</f>
        <v>NP</v>
      </c>
      <c r="I137" t="str">
        <f>IF(AND(A137 &gt;= 'Task - Upliftment'!$E$3, A137 &lt;= 'Task - Upliftment'!$F$3, OR(B137="Instagram", B137="YouTube")),
    "Present",
    IF(A137 &lt; 'Task - Upliftment'!$E$3,
       IF(OR(B137="Instagram", B137="YouTube"), "Before", "NP"),
       "NP"))</f>
        <v>NP</v>
      </c>
      <c r="J137" t="str">
        <f>IF(AND(A137 &gt;= 'Task - Upliftment'!$E$4, A137 &lt;= 'Task - Upliftment'!$F$4, OR(B137="Facebook", B137="Twitter")),
    "Present",
    IF(A137 &lt; 'Task - Upliftment'!$E$4,
       IF(OR(B137="Facebook", B137="Twitter"), "Before", "NP"),
       "NP"))</f>
        <v>NP</v>
      </c>
      <c r="K137" t="str">
        <f>IF(AND(A137 &gt;= 'Task - Upliftment'!$E$5, A137 &lt;= 'Task - Upliftment'!$F$5, OR(B137="Instagram", B137="Twitter")),
    "Present",
    IF(A137 &lt; 'Task - Upliftment'!$E$5,
       IF(OR(B137="Instagram", B137="Twitter"), "Before", "NP"),
       "NP"))</f>
        <v>NP</v>
      </c>
    </row>
    <row r="138" spans="1:11" x14ac:dyDescent="0.3">
      <c r="A138" s="27" t="s">
        <v>224</v>
      </c>
      <c r="B138" s="5" t="s">
        <v>33</v>
      </c>
      <c r="C138" s="5">
        <v>115</v>
      </c>
      <c r="D138" s="5">
        <v>281</v>
      </c>
      <c r="E138" s="5">
        <v>357265</v>
      </c>
      <c r="F138" s="5">
        <v>9.23</v>
      </c>
      <c r="G138" s="5">
        <v>25525</v>
      </c>
      <c r="H138" t="str">
        <f>IF(AND(A138 &gt;= 'Task - Upliftment'!$E$2, A138 &lt;= 'Task - Upliftment'!$F$2, OR(B138="Instagram", B138="Facebook")),
    "Present",
    IF(A138 &lt; 'Task - Upliftment'!$E$2,
       IF(OR(B138="Instagram", B138="Facebook"), "Before", "NP"),
       "NP"))</f>
        <v>NP</v>
      </c>
      <c r="I138" t="str">
        <f>IF(AND(A138 &gt;= 'Task - Upliftment'!$E$3, A138 &lt;= 'Task - Upliftment'!$F$3, OR(B138="Instagram", B138="YouTube")),
    "Present",
    IF(A138 &lt; 'Task - Upliftment'!$E$3,
       IF(OR(B138="Instagram", B138="YouTube"), "Before", "NP"),
       "NP"))</f>
        <v>NP</v>
      </c>
      <c r="J138" t="str">
        <f>IF(AND(A138 &gt;= 'Task - Upliftment'!$E$4, A138 &lt;= 'Task - Upliftment'!$F$4, OR(B138="Facebook", B138="Twitter")),
    "Present",
    IF(A138 &lt; 'Task - Upliftment'!$E$4,
       IF(OR(B138="Facebook", B138="Twitter"), "Before", "NP"),
       "NP"))</f>
        <v>NP</v>
      </c>
      <c r="K138" t="str">
        <f>IF(AND(A138 &gt;= 'Task - Upliftment'!$E$5, A138 &lt;= 'Task - Upliftment'!$F$5, OR(B138="Instagram", B138="Twitter")),
    "Present",
    IF(A138 &lt; 'Task - Upliftment'!$E$5,
       IF(OR(B138="Instagram", B138="Twitter"), "Before", "NP"),
       "NP"))</f>
        <v>Before</v>
      </c>
    </row>
    <row r="139" spans="1:11" x14ac:dyDescent="0.3">
      <c r="A139" s="27" t="s">
        <v>224</v>
      </c>
      <c r="B139" s="5" t="s">
        <v>43</v>
      </c>
      <c r="C139" s="5">
        <v>1249</v>
      </c>
      <c r="D139" s="5">
        <v>351</v>
      </c>
      <c r="E139" s="5">
        <v>321307</v>
      </c>
      <c r="F139" s="5">
        <v>6.37</v>
      </c>
      <c r="G139" s="5">
        <v>20560</v>
      </c>
      <c r="H139" t="str">
        <f>IF(AND(A139 &gt;= 'Task - Upliftment'!$E$2, A139 &lt;= 'Task - Upliftment'!$F$2, OR(B139="Instagram", B139="Facebook")),
    "Present",
    IF(A139 &lt; 'Task - Upliftment'!$E$2,
       IF(OR(B139="Instagram", B139="Facebook"), "Before", "NP"),
       "NP"))</f>
        <v>NP</v>
      </c>
      <c r="I139" t="str">
        <f>IF(AND(A139 &gt;= 'Task - Upliftment'!$E$3, A139 &lt;= 'Task - Upliftment'!$F$3, OR(B139="Instagram", B139="YouTube")),
    "Present",
    IF(A139 &lt; 'Task - Upliftment'!$E$3,
       IF(OR(B139="Instagram", B139="YouTube"), "Before", "NP"),
       "NP"))</f>
        <v>NP</v>
      </c>
      <c r="J139" t="str">
        <f>IF(AND(A139 &gt;= 'Task - Upliftment'!$E$4, A139 &lt;= 'Task - Upliftment'!$F$4, OR(B139="Facebook", B139="Twitter")),
    "Present",
    IF(A139 &lt; 'Task - Upliftment'!$E$4,
       IF(OR(B139="Facebook", B139="Twitter"), "Before", "NP"),
       "NP"))</f>
        <v>NP</v>
      </c>
      <c r="K139" t="str">
        <f>IF(AND(A139 &gt;= 'Task - Upliftment'!$E$5, A139 &lt;= 'Task - Upliftment'!$F$5, OR(B139="Instagram", B139="Twitter")),
    "Present",
    IF(A139 &lt; 'Task - Upliftment'!$E$5,
       IF(OR(B139="Instagram", B139="Twitter"), "Before", "NP"),
       "NP"))</f>
        <v>NP</v>
      </c>
    </row>
    <row r="140" spans="1:11" x14ac:dyDescent="0.3">
      <c r="A140" s="27" t="s">
        <v>224</v>
      </c>
      <c r="B140" s="5" t="s">
        <v>14</v>
      </c>
      <c r="C140" s="5">
        <v>1501</v>
      </c>
      <c r="D140" s="5">
        <v>75</v>
      </c>
      <c r="E140" s="5">
        <v>262569</v>
      </c>
      <c r="F140" s="5">
        <v>2.0099999999999998</v>
      </c>
      <c r="G140" s="5">
        <v>19119</v>
      </c>
      <c r="H140" t="str">
        <f>IF(AND(A140 &gt;= 'Task - Upliftment'!$E$2, A140 &lt;= 'Task - Upliftment'!$F$2, OR(B140="Instagram", B140="Facebook")),
    "Present",
    IF(A140 &lt; 'Task - Upliftment'!$E$2,
       IF(OR(B140="Instagram", B140="Facebook"), "Before", "NP"),
       "NP"))</f>
        <v>NP</v>
      </c>
      <c r="I140" t="str">
        <f>IF(AND(A140 &gt;= 'Task - Upliftment'!$E$3, A140 &lt;= 'Task - Upliftment'!$F$3, OR(B140="Instagram", B140="YouTube")),
    "Present",
    IF(A140 &lt; 'Task - Upliftment'!$E$3,
       IF(OR(B140="Instagram", B140="YouTube"), "Before", "NP"),
       "NP"))</f>
        <v>NP</v>
      </c>
      <c r="J140" t="str">
        <f>IF(AND(A140 &gt;= 'Task - Upliftment'!$E$4, A140 &lt;= 'Task - Upliftment'!$F$4, OR(B140="Facebook", B140="Twitter")),
    "Present",
    IF(A140 &lt; 'Task - Upliftment'!$E$4,
       IF(OR(B140="Facebook", B140="Twitter"), "Before", "NP"),
       "NP"))</f>
        <v>NP</v>
      </c>
      <c r="K140" t="str">
        <f>IF(AND(A140 &gt;= 'Task - Upliftment'!$E$5, A140 &lt;= 'Task - Upliftment'!$F$5, OR(B140="Instagram", B140="Twitter")),
    "Present",
    IF(A140 &lt; 'Task - Upliftment'!$E$5,
       IF(OR(B140="Instagram", B140="Twitter"), "Before", "NP"),
       "NP"))</f>
        <v>Before</v>
      </c>
    </row>
    <row r="141" spans="1:11" x14ac:dyDescent="0.3">
      <c r="A141" s="27" t="s">
        <v>224</v>
      </c>
      <c r="B141" s="5" t="s">
        <v>27</v>
      </c>
      <c r="C141" s="5">
        <v>1411</v>
      </c>
      <c r="D141" s="5">
        <v>186</v>
      </c>
      <c r="E141" s="5">
        <v>461669</v>
      </c>
      <c r="F141" s="5">
        <v>3.72</v>
      </c>
      <c r="G141" s="5">
        <v>43999</v>
      </c>
      <c r="H141" t="str">
        <f>IF(AND(A141 &gt;= 'Task - Upliftment'!$E$2, A141 &lt;= 'Task - Upliftment'!$F$2, OR(B141="Instagram", B141="Facebook")),
    "Present",
    IF(A141 &lt; 'Task - Upliftment'!$E$2,
       IF(OR(B141="Instagram", B141="Facebook"), "Before", "NP"),
       "NP"))</f>
        <v>NP</v>
      </c>
      <c r="I141" t="str">
        <f>IF(AND(A141 &gt;= 'Task - Upliftment'!$E$3, A141 &lt;= 'Task - Upliftment'!$F$3, OR(B141="Instagram", B141="YouTube")),
    "Present",
    IF(A141 &lt; 'Task - Upliftment'!$E$3,
       IF(OR(B141="Instagram", B141="YouTube"), "Before", "NP"),
       "NP"))</f>
        <v>NP</v>
      </c>
      <c r="J141" t="str">
        <f>IF(AND(A141 &gt;= 'Task - Upliftment'!$E$4, A141 &lt;= 'Task - Upliftment'!$F$4, OR(B141="Facebook", B141="Twitter")),
    "Present",
    IF(A141 &lt; 'Task - Upliftment'!$E$4,
       IF(OR(B141="Facebook", B141="Twitter"), "Before", "NP"),
       "NP"))</f>
        <v>NP</v>
      </c>
      <c r="K141" t="str">
        <f>IF(AND(A141 &gt;= 'Task - Upliftment'!$E$5, A141 &lt;= 'Task - Upliftment'!$F$5, OR(B141="Instagram", B141="Twitter")),
    "Present",
    IF(A141 &lt; 'Task - Upliftment'!$E$5,
       IF(OR(B141="Instagram", B141="Twitter"), "Before", "NP"),
       "NP"))</f>
        <v>NP</v>
      </c>
    </row>
    <row r="142" spans="1:11" x14ac:dyDescent="0.3">
      <c r="A142" s="27" t="s">
        <v>616</v>
      </c>
      <c r="B142" s="5" t="s">
        <v>33</v>
      </c>
      <c r="C142" s="5">
        <v>1556</v>
      </c>
      <c r="D142" s="5">
        <v>476</v>
      </c>
      <c r="E142" s="5">
        <v>351556</v>
      </c>
      <c r="F142" s="5">
        <v>3.89</v>
      </c>
      <c r="G142" s="5">
        <v>10825</v>
      </c>
      <c r="H142" t="str">
        <f>IF(AND(A142 &gt;= 'Task - Upliftment'!$E$2, A142 &lt;= 'Task - Upliftment'!$F$2, OR(B142="Instagram", B142="Facebook")),
    "Present",
    IF(A142 &lt; 'Task - Upliftment'!$E$2,
       IF(OR(B142="Instagram", B142="Facebook"), "Before", "NP"),
       "NP"))</f>
        <v>NP</v>
      </c>
      <c r="I142" t="str">
        <f>IF(AND(A142 &gt;= 'Task - Upliftment'!$E$3, A142 &lt;= 'Task - Upliftment'!$F$3, OR(B142="Instagram", B142="YouTube")),
    "Present",
    IF(A142 &lt; 'Task - Upliftment'!$E$3,
       IF(OR(B142="Instagram", B142="YouTube"), "Before", "NP"),
       "NP"))</f>
        <v>NP</v>
      </c>
      <c r="J142" t="str">
        <f>IF(AND(A142 &gt;= 'Task - Upliftment'!$E$4, A142 &lt;= 'Task - Upliftment'!$F$4, OR(B142="Facebook", B142="Twitter")),
    "Present",
    IF(A142 &lt; 'Task - Upliftment'!$E$4,
       IF(OR(B142="Facebook", B142="Twitter"), "Before", "NP"),
       "NP"))</f>
        <v>NP</v>
      </c>
      <c r="K142" t="str">
        <f>IF(AND(A142 &gt;= 'Task - Upliftment'!$E$5, A142 &lt;= 'Task - Upliftment'!$F$5, OR(B142="Instagram", B142="Twitter")),
    "Present",
    IF(A142 &lt; 'Task - Upliftment'!$E$5,
       IF(OR(B142="Instagram", B142="Twitter"), "Before", "NP"),
       "NP"))</f>
        <v>Before</v>
      </c>
    </row>
    <row r="143" spans="1:11" x14ac:dyDescent="0.3">
      <c r="A143" s="27" t="s">
        <v>616</v>
      </c>
      <c r="B143" s="5" t="s">
        <v>43</v>
      </c>
      <c r="C143" s="5">
        <v>1159</v>
      </c>
      <c r="D143" s="5">
        <v>411</v>
      </c>
      <c r="E143" s="5">
        <v>135987</v>
      </c>
      <c r="F143" s="5">
        <v>8.6999999999999993</v>
      </c>
      <c r="G143" s="5">
        <v>40323</v>
      </c>
      <c r="H143" t="str">
        <f>IF(AND(A143 &gt;= 'Task - Upliftment'!$E$2, A143 &lt;= 'Task - Upliftment'!$F$2, OR(B143="Instagram", B143="Facebook")),
    "Present",
    IF(A143 &lt; 'Task - Upliftment'!$E$2,
       IF(OR(B143="Instagram", B143="Facebook"), "Before", "NP"),
       "NP"))</f>
        <v>NP</v>
      </c>
      <c r="I143" t="str">
        <f>IF(AND(A143 &gt;= 'Task - Upliftment'!$E$3, A143 &lt;= 'Task - Upliftment'!$F$3, OR(B143="Instagram", B143="YouTube")),
    "Present",
    IF(A143 &lt; 'Task - Upliftment'!$E$3,
       IF(OR(B143="Instagram", B143="YouTube"), "Before", "NP"),
       "NP"))</f>
        <v>NP</v>
      </c>
      <c r="J143" t="str">
        <f>IF(AND(A143 &gt;= 'Task - Upliftment'!$E$4, A143 &lt;= 'Task - Upliftment'!$F$4, OR(B143="Facebook", B143="Twitter")),
    "Present",
    IF(A143 &lt; 'Task - Upliftment'!$E$4,
       IF(OR(B143="Facebook", B143="Twitter"), "Before", "NP"),
       "NP"))</f>
        <v>NP</v>
      </c>
      <c r="K143" t="str">
        <f>IF(AND(A143 &gt;= 'Task - Upliftment'!$E$5, A143 &lt;= 'Task - Upliftment'!$F$5, OR(B143="Instagram", B143="Twitter")),
    "Present",
    IF(A143 &lt; 'Task - Upliftment'!$E$5,
       IF(OR(B143="Instagram", B143="Twitter"), "Before", "NP"),
       "NP"))</f>
        <v>NP</v>
      </c>
    </row>
    <row r="144" spans="1:11" x14ac:dyDescent="0.3">
      <c r="A144" s="27" t="s">
        <v>616</v>
      </c>
      <c r="B144" s="5" t="s">
        <v>14</v>
      </c>
      <c r="C144" s="5">
        <v>927</v>
      </c>
      <c r="D144" s="5">
        <v>358</v>
      </c>
      <c r="E144" s="5">
        <v>177554</v>
      </c>
      <c r="F144" s="5">
        <v>6.95</v>
      </c>
      <c r="G144" s="5">
        <v>48270</v>
      </c>
      <c r="H144" t="str">
        <f>IF(AND(A144 &gt;= 'Task - Upliftment'!$E$2, A144 &lt;= 'Task - Upliftment'!$F$2, OR(B144="Instagram", B144="Facebook")),
    "Present",
    IF(A144 &lt; 'Task - Upliftment'!$E$2,
       IF(OR(B144="Instagram", B144="Facebook"), "Before", "NP"),
       "NP"))</f>
        <v>NP</v>
      </c>
      <c r="I144" t="str">
        <f>IF(AND(A144 &gt;= 'Task - Upliftment'!$E$3, A144 &lt;= 'Task - Upliftment'!$F$3, OR(B144="Instagram", B144="YouTube")),
    "Present",
    IF(A144 &lt; 'Task - Upliftment'!$E$3,
       IF(OR(B144="Instagram", B144="YouTube"), "Before", "NP"),
       "NP"))</f>
        <v>NP</v>
      </c>
      <c r="J144" t="str">
        <f>IF(AND(A144 &gt;= 'Task - Upliftment'!$E$4, A144 &lt;= 'Task - Upliftment'!$F$4, OR(B144="Facebook", B144="Twitter")),
    "Present",
    IF(A144 &lt; 'Task - Upliftment'!$E$4,
       IF(OR(B144="Facebook", B144="Twitter"), "Before", "NP"),
       "NP"))</f>
        <v>NP</v>
      </c>
      <c r="K144" t="str">
        <f>IF(AND(A144 &gt;= 'Task - Upliftment'!$E$5, A144 &lt;= 'Task - Upliftment'!$F$5, OR(B144="Instagram", B144="Twitter")),
    "Present",
    IF(A144 &lt; 'Task - Upliftment'!$E$5,
       IF(OR(B144="Instagram", B144="Twitter"), "Before", "NP"),
       "NP"))</f>
        <v>Before</v>
      </c>
    </row>
    <row r="145" spans="1:11" x14ac:dyDescent="0.3">
      <c r="A145" s="27" t="s">
        <v>616</v>
      </c>
      <c r="B145" s="5" t="s">
        <v>27</v>
      </c>
      <c r="C145" s="5">
        <v>152</v>
      </c>
      <c r="D145" s="5">
        <v>355</v>
      </c>
      <c r="E145" s="5">
        <v>270766</v>
      </c>
      <c r="F145" s="5">
        <v>9.48</v>
      </c>
      <c r="G145" s="5">
        <v>18001</v>
      </c>
      <c r="H145" t="str">
        <f>IF(AND(A145 &gt;= 'Task - Upliftment'!$E$2, A145 &lt;= 'Task - Upliftment'!$F$2, OR(B145="Instagram", B145="Facebook")),
    "Present",
    IF(A145 &lt; 'Task - Upliftment'!$E$2,
       IF(OR(B145="Instagram", B145="Facebook"), "Before", "NP"),
       "NP"))</f>
        <v>NP</v>
      </c>
      <c r="I145" t="str">
        <f>IF(AND(A145 &gt;= 'Task - Upliftment'!$E$3, A145 &lt;= 'Task - Upliftment'!$F$3, OR(B145="Instagram", B145="YouTube")),
    "Present",
    IF(A145 &lt; 'Task - Upliftment'!$E$3,
       IF(OR(B145="Instagram", B145="YouTube"), "Before", "NP"),
       "NP"))</f>
        <v>NP</v>
      </c>
      <c r="J145" t="str">
        <f>IF(AND(A145 &gt;= 'Task - Upliftment'!$E$4, A145 &lt;= 'Task - Upliftment'!$F$4, OR(B145="Facebook", B145="Twitter")),
    "Present",
    IF(A145 &lt; 'Task - Upliftment'!$E$4,
       IF(OR(B145="Facebook", B145="Twitter"), "Before", "NP"),
       "NP"))</f>
        <v>NP</v>
      </c>
      <c r="K145" t="str">
        <f>IF(AND(A145 &gt;= 'Task - Upliftment'!$E$5, A145 &lt;= 'Task - Upliftment'!$F$5, OR(B145="Instagram", B145="Twitter")),
    "Present",
    IF(A145 &lt; 'Task - Upliftment'!$E$5,
       IF(OR(B145="Instagram", B145="Twitter"), "Before", "NP"),
       "NP"))</f>
        <v>NP</v>
      </c>
    </row>
    <row r="146" spans="1:11" x14ac:dyDescent="0.3">
      <c r="A146" s="27" t="s">
        <v>249</v>
      </c>
      <c r="B146" s="5" t="s">
        <v>33</v>
      </c>
      <c r="C146" s="5">
        <v>1957</v>
      </c>
      <c r="D146" s="5">
        <v>234</v>
      </c>
      <c r="E146" s="5">
        <v>222126</v>
      </c>
      <c r="F146" s="5">
        <v>4.6100000000000003</v>
      </c>
      <c r="G146" s="5">
        <v>3314</v>
      </c>
      <c r="H146" t="str">
        <f>IF(AND(A146 &gt;= 'Task - Upliftment'!$E$2, A146 &lt;= 'Task - Upliftment'!$F$2, OR(B146="Instagram", B146="Facebook")),
    "Present",
    IF(A146 &lt; 'Task - Upliftment'!$E$2,
       IF(OR(B146="Instagram", B146="Facebook"), "Before", "NP"),
       "NP"))</f>
        <v>NP</v>
      </c>
      <c r="I146" t="str">
        <f>IF(AND(A146 &gt;= 'Task - Upliftment'!$E$3, A146 &lt;= 'Task - Upliftment'!$F$3, OR(B146="Instagram", B146="YouTube")),
    "Present",
    IF(A146 &lt; 'Task - Upliftment'!$E$3,
       IF(OR(B146="Instagram", B146="YouTube"), "Before", "NP"),
       "NP"))</f>
        <v>NP</v>
      </c>
      <c r="J146" t="str">
        <f>IF(AND(A146 &gt;= 'Task - Upliftment'!$E$4, A146 &lt;= 'Task - Upliftment'!$F$4, OR(B146="Facebook", B146="Twitter")),
    "Present",
    IF(A146 &lt; 'Task - Upliftment'!$E$4,
       IF(OR(B146="Facebook", B146="Twitter"), "Before", "NP"),
       "NP"))</f>
        <v>NP</v>
      </c>
      <c r="K146" t="str">
        <f>IF(AND(A146 &gt;= 'Task - Upliftment'!$E$5, A146 &lt;= 'Task - Upliftment'!$F$5, OR(B146="Instagram", B146="Twitter")),
    "Present",
    IF(A146 &lt; 'Task - Upliftment'!$E$5,
       IF(OR(B146="Instagram", B146="Twitter"), "Before", "NP"),
       "NP"))</f>
        <v>Before</v>
      </c>
    </row>
    <row r="147" spans="1:11" x14ac:dyDescent="0.3">
      <c r="A147" s="27" t="s">
        <v>249</v>
      </c>
      <c r="B147" s="5" t="s">
        <v>43</v>
      </c>
      <c r="C147" s="5">
        <v>1294</v>
      </c>
      <c r="D147" s="5">
        <v>382</v>
      </c>
      <c r="E147" s="5">
        <v>309914</v>
      </c>
      <c r="F147" s="5">
        <v>8.0299999999999994</v>
      </c>
      <c r="G147" s="5">
        <v>23489</v>
      </c>
      <c r="H147" t="str">
        <f>IF(AND(A147 &gt;= 'Task - Upliftment'!$E$2, A147 &lt;= 'Task - Upliftment'!$F$2, OR(B147="Instagram", B147="Facebook")),
    "Present",
    IF(A147 &lt; 'Task - Upliftment'!$E$2,
       IF(OR(B147="Instagram", B147="Facebook"), "Before", "NP"),
       "NP"))</f>
        <v>NP</v>
      </c>
      <c r="I147" t="str">
        <f>IF(AND(A147 &gt;= 'Task - Upliftment'!$E$3, A147 &lt;= 'Task - Upliftment'!$F$3, OR(B147="Instagram", B147="YouTube")),
    "Present",
    IF(A147 &lt; 'Task - Upliftment'!$E$3,
       IF(OR(B147="Instagram", B147="YouTube"), "Before", "NP"),
       "NP"))</f>
        <v>NP</v>
      </c>
      <c r="J147" t="str">
        <f>IF(AND(A147 &gt;= 'Task - Upliftment'!$E$4, A147 &lt;= 'Task - Upliftment'!$F$4, OR(B147="Facebook", B147="Twitter")),
    "Present",
    IF(A147 &lt; 'Task - Upliftment'!$E$4,
       IF(OR(B147="Facebook", B147="Twitter"), "Before", "NP"),
       "NP"))</f>
        <v>NP</v>
      </c>
      <c r="K147" t="str">
        <f>IF(AND(A147 &gt;= 'Task - Upliftment'!$E$5, A147 &lt;= 'Task - Upliftment'!$F$5, OR(B147="Instagram", B147="Twitter")),
    "Present",
    IF(A147 &lt; 'Task - Upliftment'!$E$5,
       IF(OR(B147="Instagram", B147="Twitter"), "Before", "NP"),
       "NP"))</f>
        <v>NP</v>
      </c>
    </row>
    <row r="148" spans="1:11" x14ac:dyDescent="0.3">
      <c r="A148" s="27" t="s">
        <v>249</v>
      </c>
      <c r="B148" s="5" t="s">
        <v>14</v>
      </c>
      <c r="C148" s="5">
        <v>1587</v>
      </c>
      <c r="D148" s="5">
        <v>385</v>
      </c>
      <c r="E148" s="5">
        <v>126582</v>
      </c>
      <c r="F148" s="5">
        <v>6.99</v>
      </c>
      <c r="G148" s="5">
        <v>42832</v>
      </c>
      <c r="H148" t="str">
        <f>IF(AND(A148 &gt;= 'Task - Upliftment'!$E$2, A148 &lt;= 'Task - Upliftment'!$F$2, OR(B148="Instagram", B148="Facebook")),
    "Present",
    IF(A148 &lt; 'Task - Upliftment'!$E$2,
       IF(OR(B148="Instagram", B148="Facebook"), "Before", "NP"),
       "NP"))</f>
        <v>NP</v>
      </c>
      <c r="I148" t="str">
        <f>IF(AND(A148 &gt;= 'Task - Upliftment'!$E$3, A148 &lt;= 'Task - Upliftment'!$F$3, OR(B148="Instagram", B148="YouTube")),
    "Present",
    IF(A148 &lt; 'Task - Upliftment'!$E$3,
       IF(OR(B148="Instagram", B148="YouTube"), "Before", "NP"),
       "NP"))</f>
        <v>NP</v>
      </c>
      <c r="J148" t="str">
        <f>IF(AND(A148 &gt;= 'Task - Upliftment'!$E$4, A148 &lt;= 'Task - Upliftment'!$F$4, OR(B148="Facebook", B148="Twitter")),
    "Present",
    IF(A148 &lt; 'Task - Upliftment'!$E$4,
       IF(OR(B148="Facebook", B148="Twitter"), "Before", "NP"),
       "NP"))</f>
        <v>NP</v>
      </c>
      <c r="K148" t="str">
        <f>IF(AND(A148 &gt;= 'Task - Upliftment'!$E$5, A148 &lt;= 'Task - Upliftment'!$F$5, OR(B148="Instagram", B148="Twitter")),
    "Present",
    IF(A148 &lt; 'Task - Upliftment'!$E$5,
       IF(OR(B148="Instagram", B148="Twitter"), "Before", "NP"),
       "NP"))</f>
        <v>Before</v>
      </c>
    </row>
    <row r="149" spans="1:11" x14ac:dyDescent="0.3">
      <c r="A149" s="27" t="s">
        <v>249</v>
      </c>
      <c r="B149" s="5" t="s">
        <v>27</v>
      </c>
      <c r="C149" s="5">
        <v>1707</v>
      </c>
      <c r="D149" s="5">
        <v>263</v>
      </c>
      <c r="E149" s="5">
        <v>485280</v>
      </c>
      <c r="F149" s="5">
        <v>9.0299999999999994</v>
      </c>
      <c r="G149" s="5">
        <v>24494</v>
      </c>
      <c r="H149" t="str">
        <f>IF(AND(A149 &gt;= 'Task - Upliftment'!$E$2, A149 &lt;= 'Task - Upliftment'!$F$2, OR(B149="Instagram", B149="Facebook")),
    "Present",
    IF(A149 &lt; 'Task - Upliftment'!$E$2,
       IF(OR(B149="Instagram", B149="Facebook"), "Before", "NP"),
       "NP"))</f>
        <v>NP</v>
      </c>
      <c r="I149" t="str">
        <f>IF(AND(A149 &gt;= 'Task - Upliftment'!$E$3, A149 &lt;= 'Task - Upliftment'!$F$3, OR(B149="Instagram", B149="YouTube")),
    "Present",
    IF(A149 &lt; 'Task - Upliftment'!$E$3,
       IF(OR(B149="Instagram", B149="YouTube"), "Before", "NP"),
       "NP"))</f>
        <v>NP</v>
      </c>
      <c r="J149" t="str">
        <f>IF(AND(A149 &gt;= 'Task - Upliftment'!$E$4, A149 &lt;= 'Task - Upliftment'!$F$4, OR(B149="Facebook", B149="Twitter")),
    "Present",
    IF(A149 &lt; 'Task - Upliftment'!$E$4,
       IF(OR(B149="Facebook", B149="Twitter"), "Before", "NP"),
       "NP"))</f>
        <v>NP</v>
      </c>
      <c r="K149" t="str">
        <f>IF(AND(A149 &gt;= 'Task - Upliftment'!$E$5, A149 &lt;= 'Task - Upliftment'!$F$5, OR(B149="Instagram", B149="Twitter")),
    "Present",
    IF(A149 &lt; 'Task - Upliftment'!$E$5,
       IF(OR(B149="Instagram", B149="Twitter"), "Before", "NP"),
       "NP"))</f>
        <v>NP</v>
      </c>
    </row>
    <row r="150" spans="1:11" x14ac:dyDescent="0.3">
      <c r="A150" s="27" t="s">
        <v>127</v>
      </c>
      <c r="B150" s="5" t="s">
        <v>33</v>
      </c>
      <c r="C150" s="5">
        <v>1138</v>
      </c>
      <c r="D150" s="5">
        <v>173</v>
      </c>
      <c r="E150" s="5">
        <v>453243</v>
      </c>
      <c r="F150" s="5">
        <v>2.86</v>
      </c>
      <c r="G150" s="5">
        <v>44097</v>
      </c>
      <c r="H150" t="str">
        <f>IF(AND(A150 &gt;= 'Task - Upliftment'!$E$2, A150 &lt;= 'Task - Upliftment'!$F$2, OR(B150="Instagram", B150="Facebook")),
    "Present",
    IF(A150 &lt; 'Task - Upliftment'!$E$2,
       IF(OR(B150="Instagram", B150="Facebook"), "Before", "NP"),
       "NP"))</f>
        <v>NP</v>
      </c>
      <c r="I150" t="str">
        <f>IF(AND(A150 &gt;= 'Task - Upliftment'!$E$3, A150 &lt;= 'Task - Upliftment'!$F$3, OR(B150="Instagram", B150="YouTube")),
    "Present",
    IF(A150 &lt; 'Task - Upliftment'!$E$3,
       IF(OR(B150="Instagram", B150="YouTube"), "Before", "NP"),
       "NP"))</f>
        <v>NP</v>
      </c>
      <c r="J150" t="str">
        <f>IF(AND(A150 &gt;= 'Task - Upliftment'!$E$4, A150 &lt;= 'Task - Upliftment'!$F$4, OR(B150="Facebook", B150="Twitter")),
    "Present",
    IF(A150 &lt; 'Task - Upliftment'!$E$4,
       IF(OR(B150="Facebook", B150="Twitter"), "Before", "NP"),
       "NP"))</f>
        <v>NP</v>
      </c>
      <c r="K150" t="str">
        <f>IF(AND(A150 &gt;= 'Task - Upliftment'!$E$5, A150 &lt;= 'Task - Upliftment'!$F$5, OR(B150="Instagram", B150="Twitter")),
    "Present",
    IF(A150 &lt; 'Task - Upliftment'!$E$5,
       IF(OR(B150="Instagram", B150="Twitter"), "Before", "NP"),
       "NP"))</f>
        <v>Before</v>
      </c>
    </row>
    <row r="151" spans="1:11" x14ac:dyDescent="0.3">
      <c r="A151" s="27" t="s">
        <v>127</v>
      </c>
      <c r="B151" s="5" t="s">
        <v>43</v>
      </c>
      <c r="C151" s="5">
        <v>1895</v>
      </c>
      <c r="D151" s="5">
        <v>305</v>
      </c>
      <c r="E151" s="5">
        <v>104967</v>
      </c>
      <c r="F151" s="5">
        <v>3.85</v>
      </c>
      <c r="G151" s="5">
        <v>31853</v>
      </c>
      <c r="H151" t="str">
        <f>IF(AND(A151 &gt;= 'Task - Upliftment'!$E$2, A151 &lt;= 'Task - Upliftment'!$F$2, OR(B151="Instagram", B151="Facebook")),
    "Present",
    IF(A151 &lt; 'Task - Upliftment'!$E$2,
       IF(OR(B151="Instagram", B151="Facebook"), "Before", "NP"),
       "NP"))</f>
        <v>NP</v>
      </c>
      <c r="I151" t="str">
        <f>IF(AND(A151 &gt;= 'Task - Upliftment'!$E$3, A151 &lt;= 'Task - Upliftment'!$F$3, OR(B151="Instagram", B151="YouTube")),
    "Present",
    IF(A151 &lt; 'Task - Upliftment'!$E$3,
       IF(OR(B151="Instagram", B151="YouTube"), "Before", "NP"),
       "NP"))</f>
        <v>NP</v>
      </c>
      <c r="J151" t="str">
        <f>IF(AND(A151 &gt;= 'Task - Upliftment'!$E$4, A151 &lt;= 'Task - Upliftment'!$F$4, OR(B151="Facebook", B151="Twitter")),
    "Present",
    IF(A151 &lt; 'Task - Upliftment'!$E$4,
       IF(OR(B151="Facebook", B151="Twitter"), "Before", "NP"),
       "NP"))</f>
        <v>NP</v>
      </c>
      <c r="K151" t="str">
        <f>IF(AND(A151 &gt;= 'Task - Upliftment'!$E$5, A151 &lt;= 'Task - Upliftment'!$F$5, OR(B151="Instagram", B151="Twitter")),
    "Present",
    IF(A151 &lt; 'Task - Upliftment'!$E$5,
       IF(OR(B151="Instagram", B151="Twitter"), "Before", "NP"),
       "NP"))</f>
        <v>NP</v>
      </c>
    </row>
    <row r="152" spans="1:11" x14ac:dyDescent="0.3">
      <c r="A152" s="27" t="s">
        <v>127</v>
      </c>
      <c r="B152" s="5" t="s">
        <v>14</v>
      </c>
      <c r="C152" s="5">
        <v>362</v>
      </c>
      <c r="D152" s="5">
        <v>399</v>
      </c>
      <c r="E152" s="5">
        <v>145608</v>
      </c>
      <c r="F152" s="5">
        <v>7.3</v>
      </c>
      <c r="G152" s="5">
        <v>37636</v>
      </c>
      <c r="H152" t="str">
        <f>IF(AND(A152 &gt;= 'Task - Upliftment'!$E$2, A152 &lt;= 'Task - Upliftment'!$F$2, OR(B152="Instagram", B152="Facebook")),
    "Present",
    IF(A152 &lt; 'Task - Upliftment'!$E$2,
       IF(OR(B152="Instagram", B152="Facebook"), "Before", "NP"),
       "NP"))</f>
        <v>NP</v>
      </c>
      <c r="I152" t="str">
        <f>IF(AND(A152 &gt;= 'Task - Upliftment'!$E$3, A152 &lt;= 'Task - Upliftment'!$F$3, OR(B152="Instagram", B152="YouTube")),
    "Present",
    IF(A152 &lt; 'Task - Upliftment'!$E$3,
       IF(OR(B152="Instagram", B152="YouTube"), "Before", "NP"),
       "NP"))</f>
        <v>NP</v>
      </c>
      <c r="J152" t="str">
        <f>IF(AND(A152 &gt;= 'Task - Upliftment'!$E$4, A152 &lt;= 'Task - Upliftment'!$F$4, OR(B152="Facebook", B152="Twitter")),
    "Present",
    IF(A152 &lt; 'Task - Upliftment'!$E$4,
       IF(OR(B152="Facebook", B152="Twitter"), "Before", "NP"),
       "NP"))</f>
        <v>NP</v>
      </c>
      <c r="K152" t="str">
        <f>IF(AND(A152 &gt;= 'Task - Upliftment'!$E$5, A152 &lt;= 'Task - Upliftment'!$F$5, OR(B152="Instagram", B152="Twitter")),
    "Present",
    IF(A152 &lt; 'Task - Upliftment'!$E$5,
       IF(OR(B152="Instagram", B152="Twitter"), "Before", "NP"),
       "NP"))</f>
        <v>Before</v>
      </c>
    </row>
    <row r="153" spans="1:11" x14ac:dyDescent="0.3">
      <c r="A153" s="27" t="s">
        <v>127</v>
      </c>
      <c r="B153" s="5" t="s">
        <v>27</v>
      </c>
      <c r="C153" s="5">
        <v>1662</v>
      </c>
      <c r="D153" s="5">
        <v>487</v>
      </c>
      <c r="E153" s="5">
        <v>105980</v>
      </c>
      <c r="F153" s="5">
        <v>9.08</v>
      </c>
      <c r="G153" s="5">
        <v>22996</v>
      </c>
      <c r="H153" t="str">
        <f>IF(AND(A153 &gt;= 'Task - Upliftment'!$E$2, A153 &lt;= 'Task - Upliftment'!$F$2, OR(B153="Instagram", B153="Facebook")),
    "Present",
    IF(A153 &lt; 'Task - Upliftment'!$E$2,
       IF(OR(B153="Instagram", B153="Facebook"), "Before", "NP"),
       "NP"))</f>
        <v>NP</v>
      </c>
      <c r="I153" t="str">
        <f>IF(AND(A153 &gt;= 'Task - Upliftment'!$E$3, A153 &lt;= 'Task - Upliftment'!$F$3, OR(B153="Instagram", B153="YouTube")),
    "Present",
    IF(A153 &lt; 'Task - Upliftment'!$E$3,
       IF(OR(B153="Instagram", B153="YouTube"), "Before", "NP"),
       "NP"))</f>
        <v>NP</v>
      </c>
      <c r="J153" t="str">
        <f>IF(AND(A153 &gt;= 'Task - Upliftment'!$E$4, A153 &lt;= 'Task - Upliftment'!$F$4, OR(B153="Facebook", B153="Twitter")),
    "Present",
    IF(A153 &lt; 'Task - Upliftment'!$E$4,
       IF(OR(B153="Facebook", B153="Twitter"), "Before", "NP"),
       "NP"))</f>
        <v>NP</v>
      </c>
      <c r="K153" t="str">
        <f>IF(AND(A153 &gt;= 'Task - Upliftment'!$E$5, A153 &lt;= 'Task - Upliftment'!$F$5, OR(B153="Instagram", B153="Twitter")),
    "Present",
    IF(A153 &lt; 'Task - Upliftment'!$E$5,
       IF(OR(B153="Instagram", B153="Twitter"), "Before", "NP"),
       "NP"))</f>
        <v>NP</v>
      </c>
    </row>
    <row r="154" spans="1:11" x14ac:dyDescent="0.3">
      <c r="A154" s="27" t="s">
        <v>147</v>
      </c>
      <c r="B154" s="5" t="s">
        <v>33</v>
      </c>
      <c r="C154" s="5">
        <v>1440</v>
      </c>
      <c r="D154" s="5">
        <v>65</v>
      </c>
      <c r="E154" s="5">
        <v>126524</v>
      </c>
      <c r="F154" s="5">
        <v>4.34</v>
      </c>
      <c r="G154" s="5">
        <v>49772</v>
      </c>
      <c r="H154" t="str">
        <f>IF(AND(A154 &gt;= 'Task - Upliftment'!$E$2, A154 &lt;= 'Task - Upliftment'!$F$2, OR(B154="Instagram", B154="Facebook")),
    "Present",
    IF(A154 &lt; 'Task - Upliftment'!$E$2,
       IF(OR(B154="Instagram", B154="Facebook"), "Before", "NP"),
       "NP"))</f>
        <v>NP</v>
      </c>
      <c r="I154" t="str">
        <f>IF(AND(A154 &gt;= 'Task - Upliftment'!$E$3, A154 &lt;= 'Task - Upliftment'!$F$3, OR(B154="Instagram", B154="YouTube")),
    "Present",
    IF(A154 &lt; 'Task - Upliftment'!$E$3,
       IF(OR(B154="Instagram", B154="YouTube"), "Before", "NP"),
       "NP"))</f>
        <v>NP</v>
      </c>
      <c r="J154" t="str">
        <f>IF(AND(A154 &gt;= 'Task - Upliftment'!$E$4, A154 &lt;= 'Task - Upliftment'!$F$4, OR(B154="Facebook", B154="Twitter")),
    "Present",
    IF(A154 &lt; 'Task - Upliftment'!$E$4,
       IF(OR(B154="Facebook", B154="Twitter"), "Before", "NP"),
       "NP"))</f>
        <v>NP</v>
      </c>
      <c r="K154" t="str">
        <f>IF(AND(A154 &gt;= 'Task - Upliftment'!$E$5, A154 &lt;= 'Task - Upliftment'!$F$5, OR(B154="Instagram", B154="Twitter")),
    "Present",
    IF(A154 &lt; 'Task - Upliftment'!$E$5,
       IF(OR(B154="Instagram", B154="Twitter"), "Before", "NP"),
       "NP"))</f>
        <v>Before</v>
      </c>
    </row>
    <row r="155" spans="1:11" x14ac:dyDescent="0.3">
      <c r="A155" s="27" t="s">
        <v>147</v>
      </c>
      <c r="B155" s="5" t="s">
        <v>43</v>
      </c>
      <c r="C155" s="5">
        <v>1884</v>
      </c>
      <c r="D155" s="5">
        <v>177</v>
      </c>
      <c r="E155" s="5">
        <v>230448</v>
      </c>
      <c r="F155" s="5">
        <v>7.8</v>
      </c>
      <c r="G155" s="5">
        <v>22713</v>
      </c>
      <c r="H155" t="str">
        <f>IF(AND(A155 &gt;= 'Task - Upliftment'!$E$2, A155 &lt;= 'Task - Upliftment'!$F$2, OR(B155="Instagram", B155="Facebook")),
    "Present",
    IF(A155 &lt; 'Task - Upliftment'!$E$2,
       IF(OR(B155="Instagram", B155="Facebook"), "Before", "NP"),
       "NP"))</f>
        <v>NP</v>
      </c>
      <c r="I155" t="str">
        <f>IF(AND(A155 &gt;= 'Task - Upliftment'!$E$3, A155 &lt;= 'Task - Upliftment'!$F$3, OR(B155="Instagram", B155="YouTube")),
    "Present",
    IF(A155 &lt; 'Task - Upliftment'!$E$3,
       IF(OR(B155="Instagram", B155="YouTube"), "Before", "NP"),
       "NP"))</f>
        <v>NP</v>
      </c>
      <c r="J155" t="str">
        <f>IF(AND(A155 &gt;= 'Task - Upliftment'!$E$4, A155 &lt;= 'Task - Upliftment'!$F$4, OR(B155="Facebook", B155="Twitter")),
    "Present",
    IF(A155 &lt; 'Task - Upliftment'!$E$4,
       IF(OR(B155="Facebook", B155="Twitter"), "Before", "NP"),
       "NP"))</f>
        <v>NP</v>
      </c>
      <c r="K155" t="str">
        <f>IF(AND(A155 &gt;= 'Task - Upliftment'!$E$5, A155 &lt;= 'Task - Upliftment'!$F$5, OR(B155="Instagram", B155="Twitter")),
    "Present",
    IF(A155 &lt; 'Task - Upliftment'!$E$5,
       IF(OR(B155="Instagram", B155="Twitter"), "Before", "NP"),
       "NP"))</f>
        <v>NP</v>
      </c>
    </row>
    <row r="156" spans="1:11" x14ac:dyDescent="0.3">
      <c r="A156" s="27" t="s">
        <v>147</v>
      </c>
      <c r="B156" s="5" t="s">
        <v>14</v>
      </c>
      <c r="C156" s="5">
        <v>861</v>
      </c>
      <c r="D156" s="5">
        <v>153</v>
      </c>
      <c r="E156" s="5">
        <v>317007</v>
      </c>
      <c r="F156" s="5">
        <v>3.85</v>
      </c>
      <c r="G156" s="5">
        <v>8718</v>
      </c>
      <c r="H156" t="str">
        <f>IF(AND(A156 &gt;= 'Task - Upliftment'!$E$2, A156 &lt;= 'Task - Upliftment'!$F$2, OR(B156="Instagram", B156="Facebook")),
    "Present",
    IF(A156 &lt; 'Task - Upliftment'!$E$2,
       IF(OR(B156="Instagram", B156="Facebook"), "Before", "NP"),
       "NP"))</f>
        <v>NP</v>
      </c>
      <c r="I156" t="str">
        <f>IF(AND(A156 &gt;= 'Task - Upliftment'!$E$3, A156 &lt;= 'Task - Upliftment'!$F$3, OR(B156="Instagram", B156="YouTube")),
    "Present",
    IF(A156 &lt; 'Task - Upliftment'!$E$3,
       IF(OR(B156="Instagram", B156="YouTube"), "Before", "NP"),
       "NP"))</f>
        <v>NP</v>
      </c>
      <c r="J156" t="str">
        <f>IF(AND(A156 &gt;= 'Task - Upliftment'!$E$4, A156 &lt;= 'Task - Upliftment'!$F$4, OR(B156="Facebook", B156="Twitter")),
    "Present",
    IF(A156 &lt; 'Task - Upliftment'!$E$4,
       IF(OR(B156="Facebook", B156="Twitter"), "Before", "NP"),
       "NP"))</f>
        <v>NP</v>
      </c>
      <c r="K156" t="str">
        <f>IF(AND(A156 &gt;= 'Task - Upliftment'!$E$5, A156 &lt;= 'Task - Upliftment'!$F$5, OR(B156="Instagram", B156="Twitter")),
    "Present",
    IF(A156 &lt; 'Task - Upliftment'!$E$5,
       IF(OR(B156="Instagram", B156="Twitter"), "Before", "NP"),
       "NP"))</f>
        <v>Before</v>
      </c>
    </row>
    <row r="157" spans="1:11" x14ac:dyDescent="0.3">
      <c r="A157" s="27" t="s">
        <v>147</v>
      </c>
      <c r="B157" s="5" t="s">
        <v>27</v>
      </c>
      <c r="C157" s="5">
        <v>1063</v>
      </c>
      <c r="D157" s="5">
        <v>47</v>
      </c>
      <c r="E157" s="5">
        <v>464239</v>
      </c>
      <c r="F157" s="5">
        <v>6.58</v>
      </c>
      <c r="G157" s="5">
        <v>39031</v>
      </c>
      <c r="H157" t="str">
        <f>IF(AND(A157 &gt;= 'Task - Upliftment'!$E$2, A157 &lt;= 'Task - Upliftment'!$F$2, OR(B157="Instagram", B157="Facebook")),
    "Present",
    IF(A157 &lt; 'Task - Upliftment'!$E$2,
       IF(OR(B157="Instagram", B157="Facebook"), "Before", "NP"),
       "NP"))</f>
        <v>NP</v>
      </c>
      <c r="I157" t="str">
        <f>IF(AND(A157 &gt;= 'Task - Upliftment'!$E$3, A157 &lt;= 'Task - Upliftment'!$F$3, OR(B157="Instagram", B157="YouTube")),
    "Present",
    IF(A157 &lt; 'Task - Upliftment'!$E$3,
       IF(OR(B157="Instagram", B157="YouTube"), "Before", "NP"),
       "NP"))</f>
        <v>NP</v>
      </c>
      <c r="J157" t="str">
        <f>IF(AND(A157 &gt;= 'Task - Upliftment'!$E$4, A157 &lt;= 'Task - Upliftment'!$F$4, OR(B157="Facebook", B157="Twitter")),
    "Present",
    IF(A157 &lt; 'Task - Upliftment'!$E$4,
       IF(OR(B157="Facebook", B157="Twitter"), "Before", "NP"),
       "NP"))</f>
        <v>NP</v>
      </c>
      <c r="K157" t="str">
        <f>IF(AND(A157 &gt;= 'Task - Upliftment'!$E$5, A157 &lt;= 'Task - Upliftment'!$F$5, OR(B157="Instagram", B157="Twitter")),
    "Present",
    IF(A157 &lt; 'Task - Upliftment'!$E$5,
       IF(OR(B157="Instagram", B157="Twitter"), "Before", "NP"),
       "NP"))</f>
        <v>NP</v>
      </c>
    </row>
    <row r="158" spans="1:11" x14ac:dyDescent="0.3">
      <c r="A158" s="27" t="s">
        <v>197</v>
      </c>
      <c r="B158" s="5" t="s">
        <v>33</v>
      </c>
      <c r="C158" s="5">
        <v>1371</v>
      </c>
      <c r="D158" s="5">
        <v>56</v>
      </c>
      <c r="E158" s="5">
        <v>257579</v>
      </c>
      <c r="F158" s="5">
        <v>8.6199999999999992</v>
      </c>
      <c r="G158" s="5">
        <v>33799</v>
      </c>
      <c r="H158" t="str">
        <f>IF(AND(A158 &gt;= 'Task - Upliftment'!$E$2, A158 &lt;= 'Task - Upliftment'!$F$2, OR(B158="Instagram", B158="Facebook")),
    "Present",
    IF(A158 &lt; 'Task - Upliftment'!$E$2,
       IF(OR(B158="Instagram", B158="Facebook"), "Before", "NP"),
       "NP"))</f>
        <v>NP</v>
      </c>
      <c r="I158" t="str">
        <f>IF(AND(A158 &gt;= 'Task - Upliftment'!$E$3, A158 &lt;= 'Task - Upliftment'!$F$3, OR(B158="Instagram", B158="YouTube")),
    "Present",
    IF(A158 &lt; 'Task - Upliftment'!$E$3,
       IF(OR(B158="Instagram", B158="YouTube"), "Before", "NP"),
       "NP"))</f>
        <v>NP</v>
      </c>
      <c r="J158" t="str">
        <f>IF(AND(A158 &gt;= 'Task - Upliftment'!$E$4, A158 &lt;= 'Task - Upliftment'!$F$4, OR(B158="Facebook", B158="Twitter")),
    "Present",
    IF(A158 &lt; 'Task - Upliftment'!$E$4,
       IF(OR(B158="Facebook", B158="Twitter"), "Before", "NP"),
       "NP"))</f>
        <v>NP</v>
      </c>
      <c r="K158" t="str">
        <f>IF(AND(A158 &gt;= 'Task - Upliftment'!$E$5, A158 &lt;= 'Task - Upliftment'!$F$5, OR(B158="Instagram", B158="Twitter")),
    "Present",
    IF(A158 &lt; 'Task - Upliftment'!$E$5,
       IF(OR(B158="Instagram", B158="Twitter"), "Before", "NP"),
       "NP"))</f>
        <v>Present</v>
      </c>
    </row>
    <row r="159" spans="1:11" x14ac:dyDescent="0.3">
      <c r="A159" s="27" t="s">
        <v>197</v>
      </c>
      <c r="B159" s="5" t="s">
        <v>43</v>
      </c>
      <c r="C159" s="5">
        <v>345</v>
      </c>
      <c r="D159" s="5">
        <v>464</v>
      </c>
      <c r="E159" s="5">
        <v>366881</v>
      </c>
      <c r="F159" s="5">
        <v>4.55</v>
      </c>
      <c r="G159" s="5">
        <v>20553</v>
      </c>
      <c r="H159" t="str">
        <f>IF(AND(A159 &gt;= 'Task - Upliftment'!$E$2, A159 &lt;= 'Task - Upliftment'!$F$2, OR(B159="Instagram", B159="Facebook")),
    "Present",
    IF(A159 &lt; 'Task - Upliftment'!$E$2,
       IF(OR(B159="Instagram", B159="Facebook"), "Before", "NP"),
       "NP"))</f>
        <v>NP</v>
      </c>
      <c r="I159" t="str">
        <f>IF(AND(A159 &gt;= 'Task - Upliftment'!$E$3, A159 &lt;= 'Task - Upliftment'!$F$3, OR(B159="Instagram", B159="YouTube")),
    "Present",
    IF(A159 &lt; 'Task - Upliftment'!$E$3,
       IF(OR(B159="Instagram", B159="YouTube"), "Before", "NP"),
       "NP"))</f>
        <v>NP</v>
      </c>
      <c r="J159" t="str">
        <f>IF(AND(A159 &gt;= 'Task - Upliftment'!$E$4, A159 &lt;= 'Task - Upliftment'!$F$4, OR(B159="Facebook", B159="Twitter")),
    "Present",
    IF(A159 &lt; 'Task - Upliftment'!$E$4,
       IF(OR(B159="Facebook", B159="Twitter"), "Before", "NP"),
       "NP"))</f>
        <v>NP</v>
      </c>
      <c r="K159" t="str">
        <f>IF(AND(A159 &gt;= 'Task - Upliftment'!$E$5, A159 &lt;= 'Task - Upliftment'!$F$5, OR(B159="Instagram", B159="Twitter")),
    "Present",
    IF(A159 &lt; 'Task - Upliftment'!$E$5,
       IF(OR(B159="Instagram", B159="Twitter"), "Before", "NP"),
       "NP"))</f>
        <v>NP</v>
      </c>
    </row>
    <row r="160" spans="1:11" x14ac:dyDescent="0.3">
      <c r="A160" s="27" t="s">
        <v>197</v>
      </c>
      <c r="B160" s="5" t="s">
        <v>14</v>
      </c>
      <c r="C160" s="5">
        <v>946</v>
      </c>
      <c r="D160" s="5">
        <v>47</v>
      </c>
      <c r="E160" s="5">
        <v>466575</v>
      </c>
      <c r="F160" s="5">
        <v>8.33</v>
      </c>
      <c r="G160" s="5">
        <v>10002</v>
      </c>
      <c r="H160" t="str">
        <f>IF(AND(A160 &gt;= 'Task - Upliftment'!$E$2, A160 &lt;= 'Task - Upliftment'!$F$2, OR(B160="Instagram", B160="Facebook")),
    "Present",
    IF(A160 &lt; 'Task - Upliftment'!$E$2,
       IF(OR(B160="Instagram", B160="Facebook"), "Before", "NP"),
       "NP"))</f>
        <v>NP</v>
      </c>
      <c r="I160" t="str">
        <f>IF(AND(A160 &gt;= 'Task - Upliftment'!$E$3, A160 &lt;= 'Task - Upliftment'!$F$3, OR(B160="Instagram", B160="YouTube")),
    "Present",
    IF(A160 &lt; 'Task - Upliftment'!$E$3,
       IF(OR(B160="Instagram", B160="YouTube"), "Before", "NP"),
       "NP"))</f>
        <v>NP</v>
      </c>
      <c r="J160" t="str">
        <f>IF(AND(A160 &gt;= 'Task - Upliftment'!$E$4, A160 &lt;= 'Task - Upliftment'!$F$4, OR(B160="Facebook", B160="Twitter")),
    "Present",
    IF(A160 &lt; 'Task - Upliftment'!$E$4,
       IF(OR(B160="Facebook", B160="Twitter"), "Before", "NP"),
       "NP"))</f>
        <v>NP</v>
      </c>
      <c r="K160" t="str">
        <f>IF(AND(A160 &gt;= 'Task - Upliftment'!$E$5, A160 &lt;= 'Task - Upliftment'!$F$5, OR(B160="Instagram", B160="Twitter")),
    "Present",
    IF(A160 &lt; 'Task - Upliftment'!$E$5,
       IF(OR(B160="Instagram", B160="Twitter"), "Before", "NP"),
       "NP"))</f>
        <v>Present</v>
      </c>
    </row>
    <row r="161" spans="1:11" x14ac:dyDescent="0.3">
      <c r="A161" s="27" t="s">
        <v>197</v>
      </c>
      <c r="B161" s="5" t="s">
        <v>27</v>
      </c>
      <c r="C161" s="5">
        <v>510</v>
      </c>
      <c r="D161" s="5">
        <v>195</v>
      </c>
      <c r="E161" s="5">
        <v>224534</v>
      </c>
      <c r="F161" s="5">
        <v>9.4</v>
      </c>
      <c r="G161" s="5">
        <v>30987</v>
      </c>
      <c r="H161" t="str">
        <f>IF(AND(A161 &gt;= 'Task - Upliftment'!$E$2, A161 &lt;= 'Task - Upliftment'!$F$2, OR(B161="Instagram", B161="Facebook")),
    "Present",
    IF(A161 &lt; 'Task - Upliftment'!$E$2,
       IF(OR(B161="Instagram", B161="Facebook"), "Before", "NP"),
       "NP"))</f>
        <v>NP</v>
      </c>
      <c r="I161" t="str">
        <f>IF(AND(A161 &gt;= 'Task - Upliftment'!$E$3, A161 &lt;= 'Task - Upliftment'!$F$3, OR(B161="Instagram", B161="YouTube")),
    "Present",
    IF(A161 &lt; 'Task - Upliftment'!$E$3,
       IF(OR(B161="Instagram", B161="YouTube"), "Before", "NP"),
       "NP"))</f>
        <v>NP</v>
      </c>
      <c r="J161" t="str">
        <f>IF(AND(A161 &gt;= 'Task - Upliftment'!$E$4, A161 &lt;= 'Task - Upliftment'!$F$4, OR(B161="Facebook", B161="Twitter")),
    "Present",
    IF(A161 &lt; 'Task - Upliftment'!$E$4,
       IF(OR(B161="Facebook", B161="Twitter"), "Before", "NP"),
       "NP"))</f>
        <v>NP</v>
      </c>
      <c r="K161" t="str">
        <f>IF(AND(A161 &gt;= 'Task - Upliftment'!$E$5, A161 &lt;= 'Task - Upliftment'!$F$5, OR(B161="Instagram", B161="Twitter")),
    "Present",
    IF(A161 &lt; 'Task - Upliftment'!$E$5,
       IF(OR(B161="Instagram", B161="Twitter"), "Before", "NP"),
       "NP"))</f>
        <v>NP</v>
      </c>
    </row>
    <row r="162" spans="1:11" x14ac:dyDescent="0.3">
      <c r="A162" s="27" t="s">
        <v>617</v>
      </c>
      <c r="B162" s="5" t="s">
        <v>33</v>
      </c>
      <c r="C162" s="5">
        <v>393</v>
      </c>
      <c r="D162" s="5">
        <v>181</v>
      </c>
      <c r="E162" s="5">
        <v>462142</v>
      </c>
      <c r="F162" s="5">
        <v>7.23</v>
      </c>
      <c r="G162" s="5">
        <v>6296</v>
      </c>
      <c r="H162" t="str">
        <f>IF(AND(A162 &gt;= 'Task - Upliftment'!$E$2, A162 &lt;= 'Task - Upliftment'!$F$2, OR(B162="Instagram", B162="Facebook")),
    "Present",
    IF(A162 &lt; 'Task - Upliftment'!$E$2,
       IF(OR(B162="Instagram", B162="Facebook"), "Before", "NP"),
       "NP"))</f>
        <v>NP</v>
      </c>
      <c r="I162" t="str">
        <f>IF(AND(A162 &gt;= 'Task - Upliftment'!$E$3, A162 &lt;= 'Task - Upliftment'!$F$3, OR(B162="Instagram", B162="YouTube")),
    "Present",
    IF(A162 &lt; 'Task - Upliftment'!$E$3,
       IF(OR(B162="Instagram", B162="YouTube"), "Before", "NP"),
       "NP"))</f>
        <v>NP</v>
      </c>
      <c r="J162" t="str">
        <f>IF(AND(A162 &gt;= 'Task - Upliftment'!$E$4, A162 &lt;= 'Task - Upliftment'!$F$4, OR(B162="Facebook", B162="Twitter")),
    "Present",
    IF(A162 &lt; 'Task - Upliftment'!$E$4,
       IF(OR(B162="Facebook", B162="Twitter"), "Before", "NP"),
       "NP"))</f>
        <v>NP</v>
      </c>
      <c r="K162" t="str">
        <f>IF(AND(A162 &gt;= 'Task - Upliftment'!$E$5, A162 &lt;= 'Task - Upliftment'!$F$5, OR(B162="Instagram", B162="Twitter")),
    "Present",
    IF(A162 &lt; 'Task - Upliftment'!$E$5,
       IF(OR(B162="Instagram", B162="Twitter"), "Before", "NP"),
       "NP"))</f>
        <v>Present</v>
      </c>
    </row>
    <row r="163" spans="1:11" x14ac:dyDescent="0.3">
      <c r="A163" s="27" t="s">
        <v>617</v>
      </c>
      <c r="B163" s="5" t="s">
        <v>43</v>
      </c>
      <c r="C163" s="5">
        <v>1098</v>
      </c>
      <c r="D163" s="5">
        <v>190</v>
      </c>
      <c r="E163" s="5">
        <v>340842</v>
      </c>
      <c r="F163" s="5">
        <v>9.39</v>
      </c>
      <c r="G163" s="5">
        <v>21539</v>
      </c>
      <c r="H163" t="str">
        <f>IF(AND(A163 &gt;= 'Task - Upliftment'!$E$2, A163 &lt;= 'Task - Upliftment'!$F$2, OR(B163="Instagram", B163="Facebook")),
    "Present",
    IF(A163 &lt; 'Task - Upliftment'!$E$2,
       IF(OR(B163="Instagram", B163="Facebook"), "Before", "NP"),
       "NP"))</f>
        <v>NP</v>
      </c>
      <c r="I163" t="str">
        <f>IF(AND(A163 &gt;= 'Task - Upliftment'!$E$3, A163 &lt;= 'Task - Upliftment'!$F$3, OR(B163="Instagram", B163="YouTube")),
    "Present",
    IF(A163 &lt; 'Task - Upliftment'!$E$3,
       IF(OR(B163="Instagram", B163="YouTube"), "Before", "NP"),
       "NP"))</f>
        <v>NP</v>
      </c>
      <c r="J163" t="str">
        <f>IF(AND(A163 &gt;= 'Task - Upliftment'!$E$4, A163 &lt;= 'Task - Upliftment'!$F$4, OR(B163="Facebook", B163="Twitter")),
    "Present",
    IF(A163 &lt; 'Task - Upliftment'!$E$4,
       IF(OR(B163="Facebook", B163="Twitter"), "Before", "NP"),
       "NP"))</f>
        <v>NP</v>
      </c>
      <c r="K163" t="str">
        <f>IF(AND(A163 &gt;= 'Task - Upliftment'!$E$5, A163 &lt;= 'Task - Upliftment'!$F$5, OR(B163="Instagram", B163="Twitter")),
    "Present",
    IF(A163 &lt; 'Task - Upliftment'!$E$5,
       IF(OR(B163="Instagram", B163="Twitter"), "Before", "NP"),
       "NP"))</f>
        <v>NP</v>
      </c>
    </row>
    <row r="164" spans="1:11" x14ac:dyDescent="0.3">
      <c r="A164" s="27" t="s">
        <v>617</v>
      </c>
      <c r="B164" s="5" t="s">
        <v>14</v>
      </c>
      <c r="C164" s="5">
        <v>1399</v>
      </c>
      <c r="D164" s="5">
        <v>49</v>
      </c>
      <c r="E164" s="5">
        <v>12471</v>
      </c>
      <c r="F164" s="5">
        <v>5.12</v>
      </c>
      <c r="G164" s="5">
        <v>14722</v>
      </c>
      <c r="H164" t="str">
        <f>IF(AND(A164 &gt;= 'Task - Upliftment'!$E$2, A164 &lt;= 'Task - Upliftment'!$F$2, OR(B164="Instagram", B164="Facebook")),
    "Present",
    IF(A164 &lt; 'Task - Upliftment'!$E$2,
       IF(OR(B164="Instagram", B164="Facebook"), "Before", "NP"),
       "NP"))</f>
        <v>NP</v>
      </c>
      <c r="I164" t="str">
        <f>IF(AND(A164 &gt;= 'Task - Upliftment'!$E$3, A164 &lt;= 'Task - Upliftment'!$F$3, OR(B164="Instagram", B164="YouTube")),
    "Present",
    IF(A164 &lt; 'Task - Upliftment'!$E$3,
       IF(OR(B164="Instagram", B164="YouTube"), "Before", "NP"),
       "NP"))</f>
        <v>NP</v>
      </c>
      <c r="J164" t="str">
        <f>IF(AND(A164 &gt;= 'Task - Upliftment'!$E$4, A164 &lt;= 'Task - Upliftment'!$F$4, OR(B164="Facebook", B164="Twitter")),
    "Present",
    IF(A164 &lt; 'Task - Upliftment'!$E$4,
       IF(OR(B164="Facebook", B164="Twitter"), "Before", "NP"),
       "NP"))</f>
        <v>NP</v>
      </c>
      <c r="K164" t="str">
        <f>IF(AND(A164 &gt;= 'Task - Upliftment'!$E$5, A164 &lt;= 'Task - Upliftment'!$F$5, OR(B164="Instagram", B164="Twitter")),
    "Present",
    IF(A164 &lt; 'Task - Upliftment'!$E$5,
       IF(OR(B164="Instagram", B164="Twitter"), "Before", "NP"),
       "NP"))</f>
        <v>Present</v>
      </c>
    </row>
    <row r="165" spans="1:11" x14ac:dyDescent="0.3">
      <c r="A165" s="27" t="s">
        <v>617</v>
      </c>
      <c r="B165" s="5" t="s">
        <v>27</v>
      </c>
      <c r="C165" s="5">
        <v>1658</v>
      </c>
      <c r="D165" s="5">
        <v>416</v>
      </c>
      <c r="E165" s="5">
        <v>98397</v>
      </c>
      <c r="F165" s="5">
        <v>6.11</v>
      </c>
      <c r="G165" s="5">
        <v>11383</v>
      </c>
      <c r="H165" t="str">
        <f>IF(AND(A165 &gt;= 'Task - Upliftment'!$E$2, A165 &lt;= 'Task - Upliftment'!$F$2, OR(B165="Instagram", B165="Facebook")),
    "Present",
    IF(A165 &lt; 'Task - Upliftment'!$E$2,
       IF(OR(B165="Instagram", B165="Facebook"), "Before", "NP"),
       "NP"))</f>
        <v>NP</v>
      </c>
      <c r="I165" t="str">
        <f>IF(AND(A165 &gt;= 'Task - Upliftment'!$E$3, A165 &lt;= 'Task - Upliftment'!$F$3, OR(B165="Instagram", B165="YouTube")),
    "Present",
    IF(A165 &lt; 'Task - Upliftment'!$E$3,
       IF(OR(B165="Instagram", B165="YouTube"), "Before", "NP"),
       "NP"))</f>
        <v>NP</v>
      </c>
      <c r="J165" t="str">
        <f>IF(AND(A165 &gt;= 'Task - Upliftment'!$E$4, A165 &lt;= 'Task - Upliftment'!$F$4, OR(B165="Facebook", B165="Twitter")),
    "Present",
    IF(A165 &lt; 'Task - Upliftment'!$E$4,
       IF(OR(B165="Facebook", B165="Twitter"), "Before", "NP"),
       "NP"))</f>
        <v>NP</v>
      </c>
      <c r="K165" t="str">
        <f>IF(AND(A165 &gt;= 'Task - Upliftment'!$E$5, A165 &lt;= 'Task - Upliftment'!$F$5, OR(B165="Instagram", B165="Twitter")),
    "Present",
    IF(A165 &lt; 'Task - Upliftment'!$E$5,
       IF(OR(B165="Instagram", B165="Twitter"), "Before", "NP"),
       "NP"))</f>
        <v>NP</v>
      </c>
    </row>
    <row r="166" spans="1:11" x14ac:dyDescent="0.3">
      <c r="A166" s="27" t="s">
        <v>618</v>
      </c>
      <c r="B166" s="5" t="s">
        <v>33</v>
      </c>
      <c r="C166" s="5">
        <v>1102</v>
      </c>
      <c r="D166" s="5">
        <v>422</v>
      </c>
      <c r="E166" s="5">
        <v>410330</v>
      </c>
      <c r="F166" s="5">
        <v>7.74</v>
      </c>
      <c r="G166" s="5">
        <v>9480</v>
      </c>
      <c r="H166" t="str">
        <f>IF(AND(A166 &gt;= 'Task - Upliftment'!$E$2, A166 &lt;= 'Task - Upliftment'!$F$2, OR(B166="Instagram", B166="Facebook")),
    "Present",
    IF(A166 &lt; 'Task - Upliftment'!$E$2,
       IF(OR(B166="Instagram", B166="Facebook"), "Before", "NP"),
       "NP"))</f>
        <v>NP</v>
      </c>
      <c r="I166" t="str">
        <f>IF(AND(A166 &gt;= 'Task - Upliftment'!$E$3, A166 &lt;= 'Task - Upliftment'!$F$3, OR(B166="Instagram", B166="YouTube")),
    "Present",
    IF(A166 &lt; 'Task - Upliftment'!$E$3,
       IF(OR(B166="Instagram", B166="YouTube"), "Before", "NP"),
       "NP"))</f>
        <v>NP</v>
      </c>
      <c r="J166" t="str">
        <f>IF(AND(A166 &gt;= 'Task - Upliftment'!$E$4, A166 &lt;= 'Task - Upliftment'!$F$4, OR(B166="Facebook", B166="Twitter")),
    "Present",
    IF(A166 &lt; 'Task - Upliftment'!$E$4,
       IF(OR(B166="Facebook", B166="Twitter"), "Before", "NP"),
       "NP"))</f>
        <v>NP</v>
      </c>
      <c r="K166" t="str">
        <f>IF(AND(A166 &gt;= 'Task - Upliftment'!$E$5, A166 &lt;= 'Task - Upliftment'!$F$5, OR(B166="Instagram", B166="Twitter")),
    "Present",
    IF(A166 &lt; 'Task - Upliftment'!$E$5,
       IF(OR(B166="Instagram", B166="Twitter"), "Before", "NP"),
       "NP"))</f>
        <v>Present</v>
      </c>
    </row>
    <row r="167" spans="1:11" x14ac:dyDescent="0.3">
      <c r="A167" s="27" t="s">
        <v>618</v>
      </c>
      <c r="B167" s="5" t="s">
        <v>43</v>
      </c>
      <c r="C167" s="5">
        <v>1358</v>
      </c>
      <c r="D167" s="5">
        <v>242</v>
      </c>
      <c r="E167" s="5">
        <v>342129</v>
      </c>
      <c r="F167" s="5">
        <v>4.9400000000000004</v>
      </c>
      <c r="G167" s="5">
        <v>29116</v>
      </c>
      <c r="H167" t="str">
        <f>IF(AND(A167 &gt;= 'Task - Upliftment'!$E$2, A167 &lt;= 'Task - Upliftment'!$F$2, OR(B167="Instagram", B167="Facebook")),
    "Present",
    IF(A167 &lt; 'Task - Upliftment'!$E$2,
       IF(OR(B167="Instagram", B167="Facebook"), "Before", "NP"),
       "NP"))</f>
        <v>NP</v>
      </c>
      <c r="I167" t="str">
        <f>IF(AND(A167 &gt;= 'Task - Upliftment'!$E$3, A167 &lt;= 'Task - Upliftment'!$F$3, OR(B167="Instagram", B167="YouTube")),
    "Present",
    IF(A167 &lt; 'Task - Upliftment'!$E$3,
       IF(OR(B167="Instagram", B167="YouTube"), "Before", "NP"),
       "NP"))</f>
        <v>NP</v>
      </c>
      <c r="J167" t="str">
        <f>IF(AND(A167 &gt;= 'Task - Upliftment'!$E$4, A167 &lt;= 'Task - Upliftment'!$F$4, OR(B167="Facebook", B167="Twitter")),
    "Present",
    IF(A167 &lt; 'Task - Upliftment'!$E$4,
       IF(OR(B167="Facebook", B167="Twitter"), "Before", "NP"),
       "NP"))</f>
        <v>NP</v>
      </c>
      <c r="K167" t="str">
        <f>IF(AND(A167 &gt;= 'Task - Upliftment'!$E$5, A167 &lt;= 'Task - Upliftment'!$F$5, OR(B167="Instagram", B167="Twitter")),
    "Present",
    IF(A167 &lt; 'Task - Upliftment'!$E$5,
       IF(OR(B167="Instagram", B167="Twitter"), "Before", "NP"),
       "NP"))</f>
        <v>NP</v>
      </c>
    </row>
    <row r="168" spans="1:11" x14ac:dyDescent="0.3">
      <c r="A168" s="27" t="s">
        <v>618</v>
      </c>
      <c r="B168" s="5" t="s">
        <v>14</v>
      </c>
      <c r="C168" s="5">
        <v>1077</v>
      </c>
      <c r="D168" s="5">
        <v>216</v>
      </c>
      <c r="E168" s="5">
        <v>12447</v>
      </c>
      <c r="F168" s="5">
        <v>1.8</v>
      </c>
      <c r="G168" s="5">
        <v>14068</v>
      </c>
      <c r="H168" t="str">
        <f>IF(AND(A168 &gt;= 'Task - Upliftment'!$E$2, A168 &lt;= 'Task - Upliftment'!$F$2, OR(B168="Instagram", B168="Facebook")),
    "Present",
    IF(A168 &lt; 'Task - Upliftment'!$E$2,
       IF(OR(B168="Instagram", B168="Facebook"), "Before", "NP"),
       "NP"))</f>
        <v>NP</v>
      </c>
      <c r="I168" t="str">
        <f>IF(AND(A168 &gt;= 'Task - Upliftment'!$E$3, A168 &lt;= 'Task - Upliftment'!$F$3, OR(B168="Instagram", B168="YouTube")),
    "Present",
    IF(A168 &lt; 'Task - Upliftment'!$E$3,
       IF(OR(B168="Instagram", B168="YouTube"), "Before", "NP"),
       "NP"))</f>
        <v>NP</v>
      </c>
      <c r="J168" t="str">
        <f>IF(AND(A168 &gt;= 'Task - Upliftment'!$E$4, A168 &lt;= 'Task - Upliftment'!$F$4, OR(B168="Facebook", B168="Twitter")),
    "Present",
    IF(A168 &lt; 'Task - Upliftment'!$E$4,
       IF(OR(B168="Facebook", B168="Twitter"), "Before", "NP"),
       "NP"))</f>
        <v>NP</v>
      </c>
      <c r="K168" t="str">
        <f>IF(AND(A168 &gt;= 'Task - Upliftment'!$E$5, A168 &lt;= 'Task - Upliftment'!$F$5, OR(B168="Instagram", B168="Twitter")),
    "Present",
    IF(A168 &lt; 'Task - Upliftment'!$E$5,
       IF(OR(B168="Instagram", B168="Twitter"), "Before", "NP"),
       "NP"))</f>
        <v>Present</v>
      </c>
    </row>
    <row r="169" spans="1:11" x14ac:dyDescent="0.3">
      <c r="A169" s="27" t="s">
        <v>618</v>
      </c>
      <c r="B169" s="5" t="s">
        <v>27</v>
      </c>
      <c r="C169" s="5">
        <v>1596</v>
      </c>
      <c r="D169" s="5">
        <v>211</v>
      </c>
      <c r="E169" s="5">
        <v>17380</v>
      </c>
      <c r="F169" s="5">
        <v>8.64</v>
      </c>
      <c r="G169" s="5">
        <v>35801</v>
      </c>
      <c r="H169" t="str">
        <f>IF(AND(A169 &gt;= 'Task - Upliftment'!$E$2, A169 &lt;= 'Task - Upliftment'!$F$2, OR(B169="Instagram", B169="Facebook")),
    "Present",
    IF(A169 &lt; 'Task - Upliftment'!$E$2,
       IF(OR(B169="Instagram", B169="Facebook"), "Before", "NP"),
       "NP"))</f>
        <v>NP</v>
      </c>
      <c r="I169" t="str">
        <f>IF(AND(A169 &gt;= 'Task - Upliftment'!$E$3, A169 &lt;= 'Task - Upliftment'!$F$3, OR(B169="Instagram", B169="YouTube")),
    "Present",
    IF(A169 &lt; 'Task - Upliftment'!$E$3,
       IF(OR(B169="Instagram", B169="YouTube"), "Before", "NP"),
       "NP"))</f>
        <v>NP</v>
      </c>
      <c r="J169" t="str">
        <f>IF(AND(A169 &gt;= 'Task - Upliftment'!$E$4, A169 &lt;= 'Task - Upliftment'!$F$4, OR(B169="Facebook", B169="Twitter")),
    "Present",
    IF(A169 &lt; 'Task - Upliftment'!$E$4,
       IF(OR(B169="Facebook", B169="Twitter"), "Before", "NP"),
       "NP"))</f>
        <v>NP</v>
      </c>
      <c r="K169" t="str">
        <f>IF(AND(A169 &gt;= 'Task - Upliftment'!$E$5, A169 &lt;= 'Task - Upliftment'!$F$5, OR(B169="Instagram", B169="Twitter")),
    "Present",
    IF(A169 &lt; 'Task - Upliftment'!$E$5,
       IF(OR(B169="Instagram", B169="Twitter"), "Before", "NP"),
       "NP"))</f>
        <v>NP</v>
      </c>
    </row>
    <row r="170" spans="1:11" x14ac:dyDescent="0.3">
      <c r="A170" s="27" t="s">
        <v>234</v>
      </c>
      <c r="B170" s="5" t="s">
        <v>33</v>
      </c>
      <c r="C170" s="5">
        <v>490</v>
      </c>
      <c r="D170" s="5">
        <v>29</v>
      </c>
      <c r="E170" s="5">
        <v>364810</v>
      </c>
      <c r="F170" s="5">
        <v>1.53</v>
      </c>
      <c r="G170" s="5">
        <v>49077</v>
      </c>
      <c r="H170" t="str">
        <f>IF(AND(A170 &gt;= 'Task - Upliftment'!$E$2, A170 &lt;= 'Task - Upliftment'!$F$2, OR(B170="Instagram", B170="Facebook")),
    "Present",
    IF(A170 &lt; 'Task - Upliftment'!$E$2,
       IF(OR(B170="Instagram", B170="Facebook"), "Before", "NP"),
       "NP"))</f>
        <v>NP</v>
      </c>
      <c r="I170" t="str">
        <f>IF(AND(A170 &gt;= 'Task - Upliftment'!$E$3, A170 &lt;= 'Task - Upliftment'!$F$3, OR(B170="Instagram", B170="YouTube")),
    "Present",
    IF(A170 &lt; 'Task - Upliftment'!$E$3,
       IF(OR(B170="Instagram", B170="YouTube"), "Before", "NP"),
       "NP"))</f>
        <v>NP</v>
      </c>
      <c r="J170" t="str">
        <f>IF(AND(A170 &gt;= 'Task - Upliftment'!$E$4, A170 &lt;= 'Task - Upliftment'!$F$4, OR(B170="Facebook", B170="Twitter")),
    "Present",
    IF(A170 &lt; 'Task - Upliftment'!$E$4,
       IF(OR(B170="Facebook", B170="Twitter"), "Before", "NP"),
       "NP"))</f>
        <v>NP</v>
      </c>
      <c r="K170" t="str">
        <f>IF(AND(A170 &gt;= 'Task - Upliftment'!$E$5, A170 &lt;= 'Task - Upliftment'!$F$5, OR(B170="Instagram", B170="Twitter")),
    "Present",
    IF(A170 &lt; 'Task - Upliftment'!$E$5,
       IF(OR(B170="Instagram", B170="Twitter"), "Before", "NP"),
       "NP"))</f>
        <v>Present</v>
      </c>
    </row>
    <row r="171" spans="1:11" x14ac:dyDescent="0.3">
      <c r="A171" s="27" t="s">
        <v>234</v>
      </c>
      <c r="B171" s="5" t="s">
        <v>43</v>
      </c>
      <c r="C171" s="5">
        <v>609</v>
      </c>
      <c r="D171" s="5">
        <v>135</v>
      </c>
      <c r="E171" s="5">
        <v>373606</v>
      </c>
      <c r="F171" s="5">
        <v>8.52</v>
      </c>
      <c r="G171" s="5">
        <v>21453</v>
      </c>
      <c r="H171" t="str">
        <f>IF(AND(A171 &gt;= 'Task - Upliftment'!$E$2, A171 &lt;= 'Task - Upliftment'!$F$2, OR(B171="Instagram", B171="Facebook")),
    "Present",
    IF(A171 &lt; 'Task - Upliftment'!$E$2,
       IF(OR(B171="Instagram", B171="Facebook"), "Before", "NP"),
       "NP"))</f>
        <v>NP</v>
      </c>
      <c r="I171" t="str">
        <f>IF(AND(A171 &gt;= 'Task - Upliftment'!$E$3, A171 &lt;= 'Task - Upliftment'!$F$3, OR(B171="Instagram", B171="YouTube")),
    "Present",
    IF(A171 &lt; 'Task - Upliftment'!$E$3,
       IF(OR(B171="Instagram", B171="YouTube"), "Before", "NP"),
       "NP"))</f>
        <v>NP</v>
      </c>
      <c r="J171" t="str">
        <f>IF(AND(A171 &gt;= 'Task - Upliftment'!$E$4, A171 &lt;= 'Task - Upliftment'!$F$4, OR(B171="Facebook", B171="Twitter")),
    "Present",
    IF(A171 &lt; 'Task - Upliftment'!$E$4,
       IF(OR(B171="Facebook", B171="Twitter"), "Before", "NP"),
       "NP"))</f>
        <v>NP</v>
      </c>
      <c r="K171" t="str">
        <f>IF(AND(A171 &gt;= 'Task - Upliftment'!$E$5, A171 &lt;= 'Task - Upliftment'!$F$5, OR(B171="Instagram", B171="Twitter")),
    "Present",
    IF(A171 &lt; 'Task - Upliftment'!$E$5,
       IF(OR(B171="Instagram", B171="Twitter"), "Before", "NP"),
       "NP"))</f>
        <v>NP</v>
      </c>
    </row>
    <row r="172" spans="1:11" x14ac:dyDescent="0.3">
      <c r="A172" s="27" t="s">
        <v>234</v>
      </c>
      <c r="B172" s="5" t="s">
        <v>14</v>
      </c>
      <c r="C172" s="5">
        <v>364</v>
      </c>
      <c r="D172" s="5">
        <v>72</v>
      </c>
      <c r="E172" s="5">
        <v>211090</v>
      </c>
      <c r="F172" s="5">
        <v>5.53</v>
      </c>
      <c r="G172" s="5">
        <v>21061</v>
      </c>
      <c r="H172" t="str">
        <f>IF(AND(A172 &gt;= 'Task - Upliftment'!$E$2, A172 &lt;= 'Task - Upliftment'!$F$2, OR(B172="Instagram", B172="Facebook")),
    "Present",
    IF(A172 &lt; 'Task - Upliftment'!$E$2,
       IF(OR(B172="Instagram", B172="Facebook"), "Before", "NP"),
       "NP"))</f>
        <v>NP</v>
      </c>
      <c r="I172" t="str">
        <f>IF(AND(A172 &gt;= 'Task - Upliftment'!$E$3, A172 &lt;= 'Task - Upliftment'!$F$3, OR(B172="Instagram", B172="YouTube")),
    "Present",
    IF(A172 &lt; 'Task - Upliftment'!$E$3,
       IF(OR(B172="Instagram", B172="YouTube"), "Before", "NP"),
       "NP"))</f>
        <v>NP</v>
      </c>
      <c r="J172" t="str">
        <f>IF(AND(A172 &gt;= 'Task - Upliftment'!$E$4, A172 &lt;= 'Task - Upliftment'!$F$4, OR(B172="Facebook", B172="Twitter")),
    "Present",
    IF(A172 &lt; 'Task - Upliftment'!$E$4,
       IF(OR(B172="Facebook", B172="Twitter"), "Before", "NP"),
       "NP"))</f>
        <v>NP</v>
      </c>
      <c r="K172" t="str">
        <f>IF(AND(A172 &gt;= 'Task - Upliftment'!$E$5, A172 &lt;= 'Task - Upliftment'!$F$5, OR(B172="Instagram", B172="Twitter")),
    "Present",
    IF(A172 &lt; 'Task - Upliftment'!$E$5,
       IF(OR(B172="Instagram", B172="Twitter"), "Before", "NP"),
       "NP"))</f>
        <v>Present</v>
      </c>
    </row>
    <row r="173" spans="1:11" x14ac:dyDescent="0.3">
      <c r="A173" s="27" t="s">
        <v>234</v>
      </c>
      <c r="B173" s="5" t="s">
        <v>27</v>
      </c>
      <c r="C173" s="5">
        <v>442</v>
      </c>
      <c r="D173" s="5">
        <v>53</v>
      </c>
      <c r="E173" s="5">
        <v>441931</v>
      </c>
      <c r="F173" s="5">
        <v>1.87</v>
      </c>
      <c r="G173" s="5">
        <v>20059</v>
      </c>
      <c r="H173" t="str">
        <f>IF(AND(A173 &gt;= 'Task - Upliftment'!$E$2, A173 &lt;= 'Task - Upliftment'!$F$2, OR(B173="Instagram", B173="Facebook")),
    "Present",
    IF(A173 &lt; 'Task - Upliftment'!$E$2,
       IF(OR(B173="Instagram", B173="Facebook"), "Before", "NP"),
       "NP"))</f>
        <v>NP</v>
      </c>
      <c r="I173" t="str">
        <f>IF(AND(A173 &gt;= 'Task - Upliftment'!$E$3, A173 &lt;= 'Task - Upliftment'!$F$3, OR(B173="Instagram", B173="YouTube")),
    "Present",
    IF(A173 &lt; 'Task - Upliftment'!$E$3,
       IF(OR(B173="Instagram", B173="YouTube"), "Before", "NP"),
       "NP"))</f>
        <v>NP</v>
      </c>
      <c r="J173" t="str">
        <f>IF(AND(A173 &gt;= 'Task - Upliftment'!$E$4, A173 &lt;= 'Task - Upliftment'!$F$4, OR(B173="Facebook", B173="Twitter")),
    "Present",
    IF(A173 &lt; 'Task - Upliftment'!$E$4,
       IF(OR(B173="Facebook", B173="Twitter"), "Before", "NP"),
       "NP"))</f>
        <v>NP</v>
      </c>
      <c r="K173" t="str">
        <f>IF(AND(A173 &gt;= 'Task - Upliftment'!$E$5, A173 &lt;= 'Task - Upliftment'!$F$5, OR(B173="Instagram", B173="Twitter")),
    "Present",
    IF(A173 &lt; 'Task - Upliftment'!$E$5,
       IF(OR(B173="Instagram", B173="Twitter"), "Before", "NP"),
       "NP"))</f>
        <v>NP</v>
      </c>
    </row>
    <row r="174" spans="1:11" x14ac:dyDescent="0.3">
      <c r="A174" s="27" t="s">
        <v>592</v>
      </c>
      <c r="B174" s="5" t="s">
        <v>33</v>
      </c>
      <c r="C174" s="5">
        <v>1033</v>
      </c>
      <c r="D174" s="5">
        <v>392</v>
      </c>
      <c r="E174" s="5">
        <v>282780</v>
      </c>
      <c r="F174" s="5">
        <v>6.27</v>
      </c>
      <c r="G174" s="5">
        <v>23140</v>
      </c>
      <c r="H174" t="str">
        <f>IF(AND(A174 &gt;= 'Task - Upliftment'!$E$2, A174 &lt;= 'Task - Upliftment'!$F$2, OR(B174="Instagram", B174="Facebook")),
    "Present",
    IF(A174 &lt; 'Task - Upliftment'!$E$2,
       IF(OR(B174="Instagram", B174="Facebook"), "Before", "NP"),
       "NP"))</f>
        <v>NP</v>
      </c>
      <c r="I174" t="str">
        <f>IF(AND(A174 &gt;= 'Task - Upliftment'!$E$3, A174 &lt;= 'Task - Upliftment'!$F$3, OR(B174="Instagram", B174="YouTube")),
    "Present",
    IF(A174 &lt; 'Task - Upliftment'!$E$3,
       IF(OR(B174="Instagram", B174="YouTube"), "Before", "NP"),
       "NP"))</f>
        <v>NP</v>
      </c>
      <c r="J174" t="str">
        <f>IF(AND(A174 &gt;= 'Task - Upliftment'!$E$4, A174 &lt;= 'Task - Upliftment'!$F$4, OR(B174="Facebook", B174="Twitter")),
    "Present",
    IF(A174 &lt; 'Task - Upliftment'!$E$4,
       IF(OR(B174="Facebook", B174="Twitter"), "Before", "NP"),
       "NP"))</f>
        <v>NP</v>
      </c>
      <c r="K174" t="str">
        <f>IF(AND(A174 &gt;= 'Task - Upliftment'!$E$5, A174 &lt;= 'Task - Upliftment'!$F$5, OR(B174="Instagram", B174="Twitter")),
    "Present",
    IF(A174 &lt; 'Task - Upliftment'!$E$5,
       IF(OR(B174="Instagram", B174="Twitter"), "Before", "NP"),
       "NP"))</f>
        <v>Present</v>
      </c>
    </row>
    <row r="175" spans="1:11" x14ac:dyDescent="0.3">
      <c r="A175" s="27" t="s">
        <v>592</v>
      </c>
      <c r="B175" s="5" t="s">
        <v>43</v>
      </c>
      <c r="C175" s="5">
        <v>988</v>
      </c>
      <c r="D175" s="5">
        <v>474</v>
      </c>
      <c r="E175" s="5">
        <v>370070</v>
      </c>
      <c r="F175" s="5">
        <v>9.4600000000000009</v>
      </c>
      <c r="G175" s="5">
        <v>23461</v>
      </c>
      <c r="H175" t="str">
        <f>IF(AND(A175 &gt;= 'Task - Upliftment'!$E$2, A175 &lt;= 'Task - Upliftment'!$F$2, OR(B175="Instagram", B175="Facebook")),
    "Present",
    IF(A175 &lt; 'Task - Upliftment'!$E$2,
       IF(OR(B175="Instagram", B175="Facebook"), "Before", "NP"),
       "NP"))</f>
        <v>NP</v>
      </c>
      <c r="I175" t="str">
        <f>IF(AND(A175 &gt;= 'Task - Upliftment'!$E$3, A175 &lt;= 'Task - Upliftment'!$F$3, OR(B175="Instagram", B175="YouTube")),
    "Present",
    IF(A175 &lt; 'Task - Upliftment'!$E$3,
       IF(OR(B175="Instagram", B175="YouTube"), "Before", "NP"),
       "NP"))</f>
        <v>NP</v>
      </c>
      <c r="J175" t="str">
        <f>IF(AND(A175 &gt;= 'Task - Upliftment'!$E$4, A175 &lt;= 'Task - Upliftment'!$F$4, OR(B175="Facebook", B175="Twitter")),
    "Present",
    IF(A175 &lt; 'Task - Upliftment'!$E$4,
       IF(OR(B175="Facebook", B175="Twitter"), "Before", "NP"),
       "NP"))</f>
        <v>NP</v>
      </c>
      <c r="K175" t="str">
        <f>IF(AND(A175 &gt;= 'Task - Upliftment'!$E$5, A175 &lt;= 'Task - Upliftment'!$F$5, OR(B175="Instagram", B175="Twitter")),
    "Present",
    IF(A175 &lt; 'Task - Upliftment'!$E$5,
       IF(OR(B175="Instagram", B175="Twitter"), "Before", "NP"),
       "NP"))</f>
        <v>NP</v>
      </c>
    </row>
    <row r="176" spans="1:11" x14ac:dyDescent="0.3">
      <c r="A176" s="27" t="s">
        <v>592</v>
      </c>
      <c r="B176" s="5" t="s">
        <v>14</v>
      </c>
      <c r="C176" s="5">
        <v>1946</v>
      </c>
      <c r="D176" s="5">
        <v>270</v>
      </c>
      <c r="E176" s="5">
        <v>198350</v>
      </c>
      <c r="F176" s="5">
        <v>7.5</v>
      </c>
      <c r="G176" s="5">
        <v>11805</v>
      </c>
      <c r="H176" t="str">
        <f>IF(AND(A176 &gt;= 'Task - Upliftment'!$E$2, A176 &lt;= 'Task - Upliftment'!$F$2, OR(B176="Instagram", B176="Facebook")),
    "Present",
    IF(A176 &lt; 'Task - Upliftment'!$E$2,
       IF(OR(B176="Instagram", B176="Facebook"), "Before", "NP"),
       "NP"))</f>
        <v>NP</v>
      </c>
      <c r="I176" t="str">
        <f>IF(AND(A176 &gt;= 'Task - Upliftment'!$E$3, A176 &lt;= 'Task - Upliftment'!$F$3, OR(B176="Instagram", B176="YouTube")),
    "Present",
    IF(A176 &lt; 'Task - Upliftment'!$E$3,
       IF(OR(B176="Instagram", B176="YouTube"), "Before", "NP"),
       "NP"))</f>
        <v>NP</v>
      </c>
      <c r="J176" t="str">
        <f>IF(AND(A176 &gt;= 'Task - Upliftment'!$E$4, A176 &lt;= 'Task - Upliftment'!$F$4, OR(B176="Facebook", B176="Twitter")),
    "Present",
    IF(A176 &lt; 'Task - Upliftment'!$E$4,
       IF(OR(B176="Facebook", B176="Twitter"), "Before", "NP"),
       "NP"))</f>
        <v>NP</v>
      </c>
      <c r="K176" t="str">
        <f>IF(AND(A176 &gt;= 'Task - Upliftment'!$E$5, A176 &lt;= 'Task - Upliftment'!$F$5, OR(B176="Instagram", B176="Twitter")),
    "Present",
    IF(A176 &lt; 'Task - Upliftment'!$E$5,
       IF(OR(B176="Instagram", B176="Twitter"), "Before", "NP"),
       "NP"))</f>
        <v>Present</v>
      </c>
    </row>
    <row r="177" spans="1:11" x14ac:dyDescent="0.3">
      <c r="A177" s="27" t="s">
        <v>592</v>
      </c>
      <c r="B177" s="5" t="s">
        <v>27</v>
      </c>
      <c r="C177" s="5">
        <v>1957</v>
      </c>
      <c r="D177" s="5">
        <v>490</v>
      </c>
      <c r="E177" s="5">
        <v>435726</v>
      </c>
      <c r="F177" s="5">
        <v>4.7300000000000004</v>
      </c>
      <c r="G177" s="5">
        <v>15969</v>
      </c>
      <c r="H177" t="str">
        <f>IF(AND(A177 &gt;= 'Task - Upliftment'!$E$2, A177 &lt;= 'Task - Upliftment'!$F$2, OR(B177="Instagram", B177="Facebook")),
    "Present",
    IF(A177 &lt; 'Task - Upliftment'!$E$2,
       IF(OR(B177="Instagram", B177="Facebook"), "Before", "NP"),
       "NP"))</f>
        <v>NP</v>
      </c>
      <c r="I177" t="str">
        <f>IF(AND(A177 &gt;= 'Task - Upliftment'!$E$3, A177 &lt;= 'Task - Upliftment'!$F$3, OR(B177="Instagram", B177="YouTube")),
    "Present",
    IF(A177 &lt; 'Task - Upliftment'!$E$3,
       IF(OR(B177="Instagram", B177="YouTube"), "Before", "NP"),
       "NP"))</f>
        <v>NP</v>
      </c>
      <c r="J177" t="str">
        <f>IF(AND(A177 &gt;= 'Task - Upliftment'!$E$4, A177 &lt;= 'Task - Upliftment'!$F$4, OR(B177="Facebook", B177="Twitter")),
    "Present",
    IF(A177 &lt; 'Task - Upliftment'!$E$4,
       IF(OR(B177="Facebook", B177="Twitter"), "Before", "NP"),
       "NP"))</f>
        <v>NP</v>
      </c>
      <c r="K177" t="str">
        <f>IF(AND(A177 &gt;= 'Task - Upliftment'!$E$5, A177 &lt;= 'Task - Upliftment'!$F$5, OR(B177="Instagram", B177="Twitter")),
    "Present",
    IF(A177 &lt; 'Task - Upliftment'!$E$5,
       IF(OR(B177="Instagram", B177="Twitter"), "Before", "NP"),
       "NP"))</f>
        <v>NP</v>
      </c>
    </row>
    <row r="178" spans="1:11" x14ac:dyDescent="0.3">
      <c r="A178" s="27" t="s">
        <v>412</v>
      </c>
      <c r="B178" s="5" t="s">
        <v>33</v>
      </c>
      <c r="C178" s="5">
        <v>559</v>
      </c>
      <c r="D178" s="5">
        <v>392</v>
      </c>
      <c r="E178" s="5">
        <v>78789</v>
      </c>
      <c r="F178" s="5">
        <v>3.19</v>
      </c>
      <c r="G178" s="5">
        <v>2436</v>
      </c>
      <c r="H178" t="str">
        <f>IF(AND(A178 &gt;= 'Task - Upliftment'!$E$2, A178 &lt;= 'Task - Upliftment'!$F$2, OR(B178="Instagram", B178="Facebook")),
    "Present",
    IF(A178 &lt; 'Task - Upliftment'!$E$2,
       IF(OR(B178="Instagram", B178="Facebook"), "Before", "NP"),
       "NP"))</f>
        <v>NP</v>
      </c>
      <c r="I178" t="str">
        <f>IF(AND(A178 &gt;= 'Task - Upliftment'!$E$3, A178 &lt;= 'Task - Upliftment'!$F$3, OR(B178="Instagram", B178="YouTube")),
    "Present",
    IF(A178 &lt; 'Task - Upliftment'!$E$3,
       IF(OR(B178="Instagram", B178="YouTube"), "Before", "NP"),
       "NP"))</f>
        <v>NP</v>
      </c>
      <c r="J178" t="str">
        <f>IF(AND(A178 &gt;= 'Task - Upliftment'!$E$4, A178 &lt;= 'Task - Upliftment'!$F$4, OR(B178="Facebook", B178="Twitter")),
    "Present",
    IF(A178 &lt; 'Task - Upliftment'!$E$4,
       IF(OR(B178="Facebook", B178="Twitter"), "Before", "NP"),
       "NP"))</f>
        <v>NP</v>
      </c>
      <c r="K178" t="str">
        <f>IF(AND(A178 &gt;= 'Task - Upliftment'!$E$5, A178 &lt;= 'Task - Upliftment'!$F$5, OR(B178="Instagram", B178="Twitter")),
    "Present",
    IF(A178 &lt; 'Task - Upliftment'!$E$5,
       IF(OR(B178="Instagram", B178="Twitter"), "Before", "NP"),
       "NP"))</f>
        <v>NP</v>
      </c>
    </row>
    <row r="179" spans="1:11" x14ac:dyDescent="0.3">
      <c r="A179" s="27" t="s">
        <v>412</v>
      </c>
      <c r="B179" s="5" t="s">
        <v>43</v>
      </c>
      <c r="C179" s="5">
        <v>1307</v>
      </c>
      <c r="D179" s="5">
        <v>278</v>
      </c>
      <c r="E179" s="5">
        <v>98596</v>
      </c>
      <c r="F179" s="5">
        <v>2.4900000000000002</v>
      </c>
      <c r="G179" s="5">
        <v>47603</v>
      </c>
      <c r="H179" t="str">
        <f>IF(AND(A179 &gt;= 'Task - Upliftment'!$E$2, A179 &lt;= 'Task - Upliftment'!$F$2, OR(B179="Instagram", B179="Facebook")),
    "Present",
    IF(A179 &lt; 'Task - Upliftment'!$E$2,
       IF(OR(B179="Instagram", B179="Facebook"), "Before", "NP"),
       "NP"))</f>
        <v>NP</v>
      </c>
      <c r="I179" t="str">
        <f>IF(AND(A179 &gt;= 'Task - Upliftment'!$E$3, A179 &lt;= 'Task - Upliftment'!$F$3, OR(B179="Instagram", B179="YouTube")),
    "Present",
    IF(A179 &lt; 'Task - Upliftment'!$E$3,
       IF(OR(B179="Instagram", B179="YouTube"), "Before", "NP"),
       "NP"))</f>
        <v>NP</v>
      </c>
      <c r="J179" t="str">
        <f>IF(AND(A179 &gt;= 'Task - Upliftment'!$E$4, A179 &lt;= 'Task - Upliftment'!$F$4, OR(B179="Facebook", B179="Twitter")),
    "Present",
    IF(A179 &lt; 'Task - Upliftment'!$E$4,
       IF(OR(B179="Facebook", B179="Twitter"), "Before", "NP"),
       "NP"))</f>
        <v>NP</v>
      </c>
      <c r="K179" t="str">
        <f>IF(AND(A179 &gt;= 'Task - Upliftment'!$E$5, A179 &lt;= 'Task - Upliftment'!$F$5, OR(B179="Instagram", B179="Twitter")),
    "Present",
    IF(A179 &lt; 'Task - Upliftment'!$E$5,
       IF(OR(B179="Instagram", B179="Twitter"), "Before", "NP"),
       "NP"))</f>
        <v>NP</v>
      </c>
    </row>
    <row r="180" spans="1:11" x14ac:dyDescent="0.3">
      <c r="A180" s="27" t="s">
        <v>412</v>
      </c>
      <c r="B180" s="5" t="s">
        <v>14</v>
      </c>
      <c r="C180" s="5">
        <v>1432</v>
      </c>
      <c r="D180" s="5">
        <v>425</v>
      </c>
      <c r="E180" s="5">
        <v>29589</v>
      </c>
      <c r="F180" s="5">
        <v>4.5</v>
      </c>
      <c r="G180" s="5">
        <v>42964</v>
      </c>
      <c r="H180" t="str">
        <f>IF(AND(A180 &gt;= 'Task - Upliftment'!$E$2, A180 &lt;= 'Task - Upliftment'!$F$2, OR(B180="Instagram", B180="Facebook")),
    "Present",
    IF(A180 &lt; 'Task - Upliftment'!$E$2,
       IF(OR(B180="Instagram", B180="Facebook"), "Before", "NP"),
       "NP"))</f>
        <v>NP</v>
      </c>
      <c r="I180" t="str">
        <f>IF(AND(A180 &gt;= 'Task - Upliftment'!$E$3, A180 &lt;= 'Task - Upliftment'!$F$3, OR(B180="Instagram", B180="YouTube")),
    "Present",
    IF(A180 &lt; 'Task - Upliftment'!$E$3,
       IF(OR(B180="Instagram", B180="YouTube"), "Before", "NP"),
       "NP"))</f>
        <v>NP</v>
      </c>
      <c r="J180" t="str">
        <f>IF(AND(A180 &gt;= 'Task - Upliftment'!$E$4, A180 &lt;= 'Task - Upliftment'!$F$4, OR(B180="Facebook", B180="Twitter")),
    "Present",
    IF(A180 &lt; 'Task - Upliftment'!$E$4,
       IF(OR(B180="Facebook", B180="Twitter"), "Before", "NP"),
       "NP"))</f>
        <v>NP</v>
      </c>
      <c r="K180" t="str">
        <f>IF(AND(A180 &gt;= 'Task - Upliftment'!$E$5, A180 &lt;= 'Task - Upliftment'!$F$5, OR(B180="Instagram", B180="Twitter")),
    "Present",
    IF(A180 &lt; 'Task - Upliftment'!$E$5,
       IF(OR(B180="Instagram", B180="Twitter"), "Before", "NP"),
       "NP"))</f>
        <v>NP</v>
      </c>
    </row>
    <row r="181" spans="1:11" x14ac:dyDescent="0.3">
      <c r="A181" s="27" t="s">
        <v>412</v>
      </c>
      <c r="B181" s="5" t="s">
        <v>27</v>
      </c>
      <c r="C181" s="5">
        <v>623</v>
      </c>
      <c r="D181" s="5">
        <v>414</v>
      </c>
      <c r="E181" s="5">
        <v>290354</v>
      </c>
      <c r="F181" s="5">
        <v>6.49</v>
      </c>
      <c r="G181" s="5">
        <v>39923</v>
      </c>
      <c r="H181" t="str">
        <f>IF(AND(A181 &gt;= 'Task - Upliftment'!$E$2, A181 &lt;= 'Task - Upliftment'!$F$2, OR(B181="Instagram", B181="Facebook")),
    "Present",
    IF(A181 &lt; 'Task - Upliftment'!$E$2,
       IF(OR(B181="Instagram", B181="Facebook"), "Before", "NP"),
       "NP"))</f>
        <v>NP</v>
      </c>
      <c r="I181" t="str">
        <f>IF(AND(A181 &gt;= 'Task - Upliftment'!$E$3, A181 &lt;= 'Task - Upliftment'!$F$3, OR(B181="Instagram", B181="YouTube")),
    "Present",
    IF(A181 &lt; 'Task - Upliftment'!$E$3,
       IF(OR(B181="Instagram", B181="YouTube"), "Before", "NP"),
       "NP"))</f>
        <v>NP</v>
      </c>
      <c r="J181" t="str">
        <f>IF(AND(A181 &gt;= 'Task - Upliftment'!$E$4, A181 &lt;= 'Task - Upliftment'!$F$4, OR(B181="Facebook", B181="Twitter")),
    "Present",
    IF(A181 &lt; 'Task - Upliftment'!$E$4,
       IF(OR(B181="Facebook", B181="Twitter"), "Before", "NP"),
       "NP"))</f>
        <v>NP</v>
      </c>
      <c r="K181" t="str">
        <f>IF(AND(A181 &gt;= 'Task - Upliftment'!$E$5, A181 &lt;= 'Task - Upliftment'!$F$5, OR(B181="Instagram", B181="Twitter")),
    "Present",
    IF(A181 &lt; 'Task - Upliftment'!$E$5,
       IF(OR(B181="Instagram", B181="Twitter"), "Before", "NP"),
       "NP"))</f>
        <v>NP</v>
      </c>
    </row>
    <row r="182" spans="1:11" x14ac:dyDescent="0.3">
      <c r="A182" s="27" t="s">
        <v>619</v>
      </c>
      <c r="B182" s="5" t="s">
        <v>33</v>
      </c>
      <c r="C182" s="5">
        <v>198</v>
      </c>
      <c r="D182" s="5">
        <v>358</v>
      </c>
      <c r="E182" s="5">
        <v>66682</v>
      </c>
      <c r="F182" s="5">
        <v>6.73</v>
      </c>
      <c r="G182" s="5">
        <v>2293</v>
      </c>
      <c r="H182" t="str">
        <f>IF(AND(A182 &gt;= 'Task - Upliftment'!$E$2, A182 &lt;= 'Task - Upliftment'!$F$2, OR(B182="Instagram", B182="Facebook")),
    "Present",
    IF(A182 &lt; 'Task - Upliftment'!$E$2,
       IF(OR(B182="Instagram", B182="Facebook"), "Before", "NP"),
       "NP"))</f>
        <v>NP</v>
      </c>
      <c r="I182" t="str">
        <f>IF(AND(A182 &gt;= 'Task - Upliftment'!$E$3, A182 &lt;= 'Task - Upliftment'!$F$3, OR(B182="Instagram", B182="YouTube")),
    "Present",
    IF(A182 &lt; 'Task - Upliftment'!$E$3,
       IF(OR(B182="Instagram", B182="YouTube"), "Before", "NP"),
       "NP"))</f>
        <v>NP</v>
      </c>
      <c r="J182" t="str">
        <f>IF(AND(A182 &gt;= 'Task - Upliftment'!$E$4, A182 &lt;= 'Task - Upliftment'!$F$4, OR(B182="Facebook", B182="Twitter")),
    "Present",
    IF(A182 &lt; 'Task - Upliftment'!$E$4,
       IF(OR(B182="Facebook", B182="Twitter"), "Before", "NP"),
       "NP"))</f>
        <v>NP</v>
      </c>
      <c r="K182" t="str">
        <f>IF(AND(A182 &gt;= 'Task - Upliftment'!$E$5, A182 &lt;= 'Task - Upliftment'!$F$5, OR(B182="Instagram", B182="Twitter")),
    "Present",
    IF(A182 &lt; 'Task - Upliftment'!$E$5,
       IF(OR(B182="Instagram", B182="Twitter"), "Before", "NP"),
       "NP"))</f>
        <v>NP</v>
      </c>
    </row>
    <row r="183" spans="1:11" x14ac:dyDescent="0.3">
      <c r="A183" s="27" t="s">
        <v>619</v>
      </c>
      <c r="B183" s="5" t="s">
        <v>43</v>
      </c>
      <c r="C183" s="5">
        <v>198</v>
      </c>
      <c r="D183" s="5">
        <v>373</v>
      </c>
      <c r="E183" s="5">
        <v>70707</v>
      </c>
      <c r="F183" s="5">
        <v>4.83</v>
      </c>
      <c r="G183" s="5">
        <v>25920</v>
      </c>
      <c r="H183" t="str">
        <f>IF(AND(A183 &gt;= 'Task - Upliftment'!$E$2, A183 &lt;= 'Task - Upliftment'!$F$2, OR(B183="Instagram", B183="Facebook")),
    "Present",
    IF(A183 &lt; 'Task - Upliftment'!$E$2,
       IF(OR(B183="Instagram", B183="Facebook"), "Before", "NP"),
       "NP"))</f>
        <v>NP</v>
      </c>
      <c r="I183" t="str">
        <f>IF(AND(A183 &gt;= 'Task - Upliftment'!$E$3, A183 &lt;= 'Task - Upliftment'!$F$3, OR(B183="Instagram", B183="YouTube")),
    "Present",
    IF(A183 &lt; 'Task - Upliftment'!$E$3,
       IF(OR(B183="Instagram", B183="YouTube"), "Before", "NP"),
       "NP"))</f>
        <v>NP</v>
      </c>
      <c r="J183" t="str">
        <f>IF(AND(A183 &gt;= 'Task - Upliftment'!$E$4, A183 &lt;= 'Task - Upliftment'!$F$4, OR(B183="Facebook", B183="Twitter")),
    "Present",
    IF(A183 &lt; 'Task - Upliftment'!$E$4,
       IF(OR(B183="Facebook", B183="Twitter"), "Before", "NP"),
       "NP"))</f>
        <v>NP</v>
      </c>
      <c r="K183" t="str">
        <f>IF(AND(A183 &gt;= 'Task - Upliftment'!$E$5, A183 &lt;= 'Task - Upliftment'!$F$5, OR(B183="Instagram", B183="Twitter")),
    "Present",
    IF(A183 &lt; 'Task - Upliftment'!$E$5,
       IF(OR(B183="Instagram", B183="Twitter"), "Before", "NP"),
       "NP"))</f>
        <v>NP</v>
      </c>
    </row>
    <row r="184" spans="1:11" x14ac:dyDescent="0.3">
      <c r="A184" s="27" t="s">
        <v>619</v>
      </c>
      <c r="B184" s="5" t="s">
        <v>14</v>
      </c>
      <c r="C184" s="5">
        <v>353</v>
      </c>
      <c r="D184" s="5">
        <v>300</v>
      </c>
      <c r="E184" s="5">
        <v>142507</v>
      </c>
      <c r="F184" s="5">
        <v>5.3</v>
      </c>
      <c r="G184" s="5">
        <v>11035</v>
      </c>
      <c r="H184" t="str">
        <f>IF(AND(A184 &gt;= 'Task - Upliftment'!$E$2, A184 &lt;= 'Task - Upliftment'!$F$2, OR(B184="Instagram", B184="Facebook")),
    "Present",
    IF(A184 &lt; 'Task - Upliftment'!$E$2,
       IF(OR(B184="Instagram", B184="Facebook"), "Before", "NP"),
       "NP"))</f>
        <v>NP</v>
      </c>
      <c r="I184" t="str">
        <f>IF(AND(A184 &gt;= 'Task - Upliftment'!$E$3, A184 &lt;= 'Task - Upliftment'!$F$3, OR(B184="Instagram", B184="YouTube")),
    "Present",
    IF(A184 &lt; 'Task - Upliftment'!$E$3,
       IF(OR(B184="Instagram", B184="YouTube"), "Before", "NP"),
       "NP"))</f>
        <v>NP</v>
      </c>
      <c r="J184" t="str">
        <f>IF(AND(A184 &gt;= 'Task - Upliftment'!$E$4, A184 &lt;= 'Task - Upliftment'!$F$4, OR(B184="Facebook", B184="Twitter")),
    "Present",
    IF(A184 &lt; 'Task - Upliftment'!$E$4,
       IF(OR(B184="Facebook", B184="Twitter"), "Before", "NP"),
       "NP"))</f>
        <v>NP</v>
      </c>
      <c r="K184" t="str">
        <f>IF(AND(A184 &gt;= 'Task - Upliftment'!$E$5, A184 &lt;= 'Task - Upliftment'!$F$5, OR(B184="Instagram", B184="Twitter")),
    "Present",
    IF(A184 &lt; 'Task - Upliftment'!$E$5,
       IF(OR(B184="Instagram", B184="Twitter"), "Before", "NP"),
       "NP"))</f>
        <v>NP</v>
      </c>
    </row>
    <row r="185" spans="1:11" x14ac:dyDescent="0.3">
      <c r="A185" s="27" t="s">
        <v>619</v>
      </c>
      <c r="B185" s="5" t="s">
        <v>27</v>
      </c>
      <c r="C185" s="5">
        <v>520</v>
      </c>
      <c r="D185" s="5">
        <v>375</v>
      </c>
      <c r="E185" s="5">
        <v>369525</v>
      </c>
      <c r="F185" s="5">
        <v>6.54</v>
      </c>
      <c r="G185" s="5">
        <v>20733</v>
      </c>
      <c r="H185" t="str">
        <f>IF(AND(A185 &gt;= 'Task - Upliftment'!$E$2, A185 &lt;= 'Task - Upliftment'!$F$2, OR(B185="Instagram", B185="Facebook")),
    "Present",
    IF(A185 &lt; 'Task - Upliftment'!$E$2,
       IF(OR(B185="Instagram", B185="Facebook"), "Before", "NP"),
       "NP"))</f>
        <v>NP</v>
      </c>
      <c r="I185" t="str">
        <f>IF(AND(A185 &gt;= 'Task - Upliftment'!$E$3, A185 &lt;= 'Task - Upliftment'!$F$3, OR(B185="Instagram", B185="YouTube")),
    "Present",
    IF(A185 &lt; 'Task - Upliftment'!$E$3,
       IF(OR(B185="Instagram", B185="YouTube"), "Before", "NP"),
       "NP"))</f>
        <v>NP</v>
      </c>
      <c r="J185" t="str">
        <f>IF(AND(A185 &gt;= 'Task - Upliftment'!$E$4, A185 &lt;= 'Task - Upliftment'!$F$4, OR(B185="Facebook", B185="Twitter")),
    "Present",
    IF(A185 &lt; 'Task - Upliftment'!$E$4,
       IF(OR(B185="Facebook", B185="Twitter"), "Before", "NP"),
       "NP"))</f>
        <v>NP</v>
      </c>
      <c r="K185" t="str">
        <f>IF(AND(A185 &gt;= 'Task - Upliftment'!$E$5, A185 &lt;= 'Task - Upliftment'!$F$5, OR(B185="Instagram", B185="Twitter")),
    "Present",
    IF(A185 &lt; 'Task - Upliftment'!$E$5,
       IF(OR(B185="Instagram", B185="Twitter"), "Before", "NP"),
       "NP"))</f>
        <v>NP</v>
      </c>
    </row>
    <row r="186" spans="1:11" x14ac:dyDescent="0.3">
      <c r="A186" s="27" t="s">
        <v>620</v>
      </c>
      <c r="B186" s="5" t="s">
        <v>33</v>
      </c>
      <c r="C186" s="5">
        <v>961</v>
      </c>
      <c r="D186" s="5">
        <v>358</v>
      </c>
      <c r="E186" s="5">
        <v>62942</v>
      </c>
      <c r="F186" s="5">
        <v>6.8</v>
      </c>
      <c r="G186" s="5">
        <v>18693</v>
      </c>
      <c r="H186" t="str">
        <f>IF(AND(A186 &gt;= 'Task - Upliftment'!$E$2, A186 &lt;= 'Task - Upliftment'!$F$2, OR(B186="Instagram", B186="Facebook")),
    "Present",
    IF(A186 &lt; 'Task - Upliftment'!$E$2,
       IF(OR(B186="Instagram", B186="Facebook"), "Before", "NP"),
       "NP"))</f>
        <v>NP</v>
      </c>
      <c r="I186" t="str">
        <f>IF(AND(A186 &gt;= 'Task - Upliftment'!$E$3, A186 &lt;= 'Task - Upliftment'!$F$3, OR(B186="Instagram", B186="YouTube")),
    "Present",
    IF(A186 &lt; 'Task - Upliftment'!$E$3,
       IF(OR(B186="Instagram", B186="YouTube"), "Before", "NP"),
       "NP"))</f>
        <v>NP</v>
      </c>
      <c r="J186" t="str">
        <f>IF(AND(A186 &gt;= 'Task - Upliftment'!$E$4, A186 &lt;= 'Task - Upliftment'!$F$4, OR(B186="Facebook", B186="Twitter")),
    "Present",
    IF(A186 &lt; 'Task - Upliftment'!$E$4,
       IF(OR(B186="Facebook", B186="Twitter"), "Before", "NP"),
       "NP"))</f>
        <v>NP</v>
      </c>
      <c r="K186" t="str">
        <f>IF(AND(A186 &gt;= 'Task - Upliftment'!$E$5, A186 &lt;= 'Task - Upliftment'!$F$5, OR(B186="Instagram", B186="Twitter")),
    "Present",
    IF(A186 &lt; 'Task - Upliftment'!$E$5,
       IF(OR(B186="Instagram", B186="Twitter"), "Before", "NP"),
       "NP"))</f>
        <v>NP</v>
      </c>
    </row>
    <row r="187" spans="1:11" x14ac:dyDescent="0.3">
      <c r="A187" s="27" t="s">
        <v>620</v>
      </c>
      <c r="B187" s="5" t="s">
        <v>43</v>
      </c>
      <c r="C187" s="5">
        <v>1375</v>
      </c>
      <c r="D187" s="5">
        <v>330</v>
      </c>
      <c r="E187" s="5">
        <v>377382</v>
      </c>
      <c r="F187" s="5">
        <v>2.6</v>
      </c>
      <c r="G187" s="5">
        <v>7875</v>
      </c>
      <c r="H187" t="str">
        <f>IF(AND(A187 &gt;= 'Task - Upliftment'!$E$2, A187 &lt;= 'Task - Upliftment'!$F$2, OR(B187="Instagram", B187="Facebook")),
    "Present",
    IF(A187 &lt; 'Task - Upliftment'!$E$2,
       IF(OR(B187="Instagram", B187="Facebook"), "Before", "NP"),
       "NP"))</f>
        <v>NP</v>
      </c>
      <c r="I187" t="str">
        <f>IF(AND(A187 &gt;= 'Task - Upliftment'!$E$3, A187 &lt;= 'Task - Upliftment'!$F$3, OR(B187="Instagram", B187="YouTube")),
    "Present",
    IF(A187 &lt; 'Task - Upliftment'!$E$3,
       IF(OR(B187="Instagram", B187="YouTube"), "Before", "NP"),
       "NP"))</f>
        <v>NP</v>
      </c>
      <c r="J187" t="str">
        <f>IF(AND(A187 &gt;= 'Task - Upliftment'!$E$4, A187 &lt;= 'Task - Upliftment'!$F$4, OR(B187="Facebook", B187="Twitter")),
    "Present",
    IF(A187 &lt; 'Task - Upliftment'!$E$4,
       IF(OR(B187="Facebook", B187="Twitter"), "Before", "NP"),
       "NP"))</f>
        <v>NP</v>
      </c>
      <c r="K187" t="str">
        <f>IF(AND(A187 &gt;= 'Task - Upliftment'!$E$5, A187 &lt;= 'Task - Upliftment'!$F$5, OR(B187="Instagram", B187="Twitter")),
    "Present",
    IF(A187 &lt; 'Task - Upliftment'!$E$5,
       IF(OR(B187="Instagram", B187="Twitter"), "Before", "NP"),
       "NP"))</f>
        <v>NP</v>
      </c>
    </row>
    <row r="188" spans="1:11" x14ac:dyDescent="0.3">
      <c r="A188" s="27" t="s">
        <v>620</v>
      </c>
      <c r="B188" s="5" t="s">
        <v>14</v>
      </c>
      <c r="C188" s="5">
        <v>1147</v>
      </c>
      <c r="D188" s="5">
        <v>388</v>
      </c>
      <c r="E188" s="5">
        <v>333851</v>
      </c>
      <c r="F188" s="5">
        <v>2.44</v>
      </c>
      <c r="G188" s="5">
        <v>8471</v>
      </c>
      <c r="H188" t="str">
        <f>IF(AND(A188 &gt;= 'Task - Upliftment'!$E$2, A188 &lt;= 'Task - Upliftment'!$F$2, OR(B188="Instagram", B188="Facebook")),
    "Present",
    IF(A188 &lt; 'Task - Upliftment'!$E$2,
       IF(OR(B188="Instagram", B188="Facebook"), "Before", "NP"),
       "NP"))</f>
        <v>NP</v>
      </c>
      <c r="I188" t="str">
        <f>IF(AND(A188 &gt;= 'Task - Upliftment'!$E$3, A188 &lt;= 'Task - Upliftment'!$F$3, OR(B188="Instagram", B188="YouTube")),
    "Present",
    IF(A188 &lt; 'Task - Upliftment'!$E$3,
       IF(OR(B188="Instagram", B188="YouTube"), "Before", "NP"),
       "NP"))</f>
        <v>NP</v>
      </c>
      <c r="J188" t="str">
        <f>IF(AND(A188 &gt;= 'Task - Upliftment'!$E$4, A188 &lt;= 'Task - Upliftment'!$F$4, OR(B188="Facebook", B188="Twitter")),
    "Present",
    IF(A188 &lt; 'Task - Upliftment'!$E$4,
       IF(OR(B188="Facebook", B188="Twitter"), "Before", "NP"),
       "NP"))</f>
        <v>NP</v>
      </c>
      <c r="K188" t="str">
        <f>IF(AND(A188 &gt;= 'Task - Upliftment'!$E$5, A188 &lt;= 'Task - Upliftment'!$F$5, OR(B188="Instagram", B188="Twitter")),
    "Present",
    IF(A188 &lt; 'Task - Upliftment'!$E$5,
       IF(OR(B188="Instagram", B188="Twitter"), "Before", "NP"),
       "NP"))</f>
        <v>NP</v>
      </c>
    </row>
    <row r="189" spans="1:11" x14ac:dyDescent="0.3">
      <c r="A189" s="27" t="s">
        <v>620</v>
      </c>
      <c r="B189" s="5" t="s">
        <v>27</v>
      </c>
      <c r="C189" s="5">
        <v>1707</v>
      </c>
      <c r="D189" s="5">
        <v>74</v>
      </c>
      <c r="E189" s="5">
        <v>270958</v>
      </c>
      <c r="F189" s="5">
        <v>3.09</v>
      </c>
      <c r="G189" s="5">
        <v>14090</v>
      </c>
      <c r="H189" t="str">
        <f>IF(AND(A189 &gt;= 'Task - Upliftment'!$E$2, A189 &lt;= 'Task - Upliftment'!$F$2, OR(B189="Instagram", B189="Facebook")),
    "Present",
    IF(A189 &lt; 'Task - Upliftment'!$E$2,
       IF(OR(B189="Instagram", B189="Facebook"), "Before", "NP"),
       "NP"))</f>
        <v>NP</v>
      </c>
      <c r="I189" t="str">
        <f>IF(AND(A189 &gt;= 'Task - Upliftment'!$E$3, A189 &lt;= 'Task - Upliftment'!$F$3, OR(B189="Instagram", B189="YouTube")),
    "Present",
    IF(A189 &lt; 'Task - Upliftment'!$E$3,
       IF(OR(B189="Instagram", B189="YouTube"), "Before", "NP"),
       "NP"))</f>
        <v>NP</v>
      </c>
      <c r="J189" t="str">
        <f>IF(AND(A189 &gt;= 'Task - Upliftment'!$E$4, A189 &lt;= 'Task - Upliftment'!$F$4, OR(B189="Facebook", B189="Twitter")),
    "Present",
    IF(A189 &lt; 'Task - Upliftment'!$E$4,
       IF(OR(B189="Facebook", B189="Twitter"), "Before", "NP"),
       "NP"))</f>
        <v>NP</v>
      </c>
      <c r="K189" t="str">
        <f>IF(AND(A189 &gt;= 'Task - Upliftment'!$E$5, A189 &lt;= 'Task - Upliftment'!$F$5, OR(B189="Instagram", B189="Twitter")),
    "Present",
    IF(A189 &lt; 'Task - Upliftment'!$E$5,
       IF(OR(B189="Instagram", B189="Twitter"), "Before", "NP"),
       "NP"))</f>
        <v>NP</v>
      </c>
    </row>
    <row r="190" spans="1:11" x14ac:dyDescent="0.3">
      <c r="A190" s="27" t="s">
        <v>364</v>
      </c>
      <c r="B190" s="5" t="s">
        <v>33</v>
      </c>
      <c r="C190" s="5">
        <v>1693</v>
      </c>
      <c r="D190" s="5">
        <v>154</v>
      </c>
      <c r="E190" s="5">
        <v>445944</v>
      </c>
      <c r="F190" s="5">
        <v>5.69</v>
      </c>
      <c r="G190" s="5">
        <v>14216</v>
      </c>
      <c r="H190" t="str">
        <f>IF(AND(A190 &gt;= 'Task - Upliftment'!$E$2, A190 &lt;= 'Task - Upliftment'!$F$2, OR(B190="Instagram", B190="Facebook")),
    "Present",
    IF(A190 &lt; 'Task - Upliftment'!$E$2,
       IF(OR(B190="Instagram", B190="Facebook"), "Before", "NP"),
       "NP"))</f>
        <v>NP</v>
      </c>
      <c r="I190" t="str">
        <f>IF(AND(A190 &gt;= 'Task - Upliftment'!$E$3, A190 &lt;= 'Task - Upliftment'!$F$3, OR(B190="Instagram", B190="YouTube")),
    "Present",
    IF(A190 &lt; 'Task - Upliftment'!$E$3,
       IF(OR(B190="Instagram", B190="YouTube"), "Before", "NP"),
       "NP"))</f>
        <v>NP</v>
      </c>
      <c r="J190" t="str">
        <f>IF(AND(A190 &gt;= 'Task - Upliftment'!$E$4, A190 &lt;= 'Task - Upliftment'!$F$4, OR(B190="Facebook", B190="Twitter")),
    "Present",
    IF(A190 &lt; 'Task - Upliftment'!$E$4,
       IF(OR(B190="Facebook", B190="Twitter"), "Before", "NP"),
       "NP"))</f>
        <v>NP</v>
      </c>
      <c r="K190" t="str">
        <f>IF(AND(A190 &gt;= 'Task - Upliftment'!$E$5, A190 &lt;= 'Task - Upliftment'!$F$5, OR(B190="Instagram", B190="Twitter")),
    "Present",
    IF(A190 &lt; 'Task - Upliftment'!$E$5,
       IF(OR(B190="Instagram", B190="Twitter"), "Before", "NP"),
       "NP"))</f>
        <v>NP</v>
      </c>
    </row>
    <row r="191" spans="1:11" x14ac:dyDescent="0.3">
      <c r="A191" s="27" t="s">
        <v>364</v>
      </c>
      <c r="B191" s="5" t="s">
        <v>43</v>
      </c>
      <c r="C191" s="5">
        <v>833</v>
      </c>
      <c r="D191" s="5">
        <v>380</v>
      </c>
      <c r="E191" s="5">
        <v>224830</v>
      </c>
      <c r="F191" s="5">
        <v>3.86</v>
      </c>
      <c r="G191" s="5">
        <v>3582</v>
      </c>
      <c r="H191" t="str">
        <f>IF(AND(A191 &gt;= 'Task - Upliftment'!$E$2, A191 &lt;= 'Task - Upliftment'!$F$2, OR(B191="Instagram", B191="Facebook")),
    "Present",
    IF(A191 &lt; 'Task - Upliftment'!$E$2,
       IF(OR(B191="Instagram", B191="Facebook"), "Before", "NP"),
       "NP"))</f>
        <v>NP</v>
      </c>
      <c r="I191" t="str">
        <f>IF(AND(A191 &gt;= 'Task - Upliftment'!$E$3, A191 &lt;= 'Task - Upliftment'!$F$3, OR(B191="Instagram", B191="YouTube")),
    "Present",
    IF(A191 &lt; 'Task - Upliftment'!$E$3,
       IF(OR(B191="Instagram", B191="YouTube"), "Before", "NP"),
       "NP"))</f>
        <v>NP</v>
      </c>
      <c r="J191" t="str">
        <f>IF(AND(A191 &gt;= 'Task - Upliftment'!$E$4, A191 &lt;= 'Task - Upliftment'!$F$4, OR(B191="Facebook", B191="Twitter")),
    "Present",
    IF(A191 &lt; 'Task - Upliftment'!$E$4,
       IF(OR(B191="Facebook", B191="Twitter"), "Before", "NP"),
       "NP"))</f>
        <v>NP</v>
      </c>
      <c r="K191" t="str">
        <f>IF(AND(A191 &gt;= 'Task - Upliftment'!$E$5, A191 &lt;= 'Task - Upliftment'!$F$5, OR(B191="Instagram", B191="Twitter")),
    "Present",
    IF(A191 &lt; 'Task - Upliftment'!$E$5,
       IF(OR(B191="Instagram", B191="Twitter"), "Before", "NP"),
       "NP"))</f>
        <v>NP</v>
      </c>
    </row>
    <row r="192" spans="1:11" x14ac:dyDescent="0.3">
      <c r="A192" s="27" t="s">
        <v>364</v>
      </c>
      <c r="B192" s="5" t="s">
        <v>14</v>
      </c>
      <c r="C192" s="5">
        <v>1222</v>
      </c>
      <c r="D192" s="5">
        <v>274</v>
      </c>
      <c r="E192" s="5">
        <v>487289</v>
      </c>
      <c r="F192" s="5">
        <v>3.16</v>
      </c>
      <c r="G192" s="5">
        <v>32500</v>
      </c>
      <c r="H192" t="str">
        <f>IF(AND(A192 &gt;= 'Task - Upliftment'!$E$2, A192 &lt;= 'Task - Upliftment'!$F$2, OR(B192="Instagram", B192="Facebook")),
    "Present",
    IF(A192 &lt; 'Task - Upliftment'!$E$2,
       IF(OR(B192="Instagram", B192="Facebook"), "Before", "NP"),
       "NP"))</f>
        <v>NP</v>
      </c>
      <c r="I192" t="str">
        <f>IF(AND(A192 &gt;= 'Task - Upliftment'!$E$3, A192 &lt;= 'Task - Upliftment'!$F$3, OR(B192="Instagram", B192="YouTube")),
    "Present",
    IF(A192 &lt; 'Task - Upliftment'!$E$3,
       IF(OR(B192="Instagram", B192="YouTube"), "Before", "NP"),
       "NP"))</f>
        <v>NP</v>
      </c>
      <c r="J192" t="str">
        <f>IF(AND(A192 &gt;= 'Task - Upliftment'!$E$4, A192 &lt;= 'Task - Upliftment'!$F$4, OR(B192="Facebook", B192="Twitter")),
    "Present",
    IF(A192 &lt; 'Task - Upliftment'!$E$4,
       IF(OR(B192="Facebook", B192="Twitter"), "Before", "NP"),
       "NP"))</f>
        <v>NP</v>
      </c>
      <c r="K192" t="str">
        <f>IF(AND(A192 &gt;= 'Task - Upliftment'!$E$5, A192 &lt;= 'Task - Upliftment'!$F$5, OR(B192="Instagram", B192="Twitter")),
    "Present",
    IF(A192 &lt; 'Task - Upliftment'!$E$5,
       IF(OR(B192="Instagram", B192="Twitter"), "Before", "NP"),
       "NP"))</f>
        <v>NP</v>
      </c>
    </row>
    <row r="193" spans="1:11" x14ac:dyDescent="0.3">
      <c r="A193" s="27" t="s">
        <v>364</v>
      </c>
      <c r="B193" s="5" t="s">
        <v>27</v>
      </c>
      <c r="C193" s="5">
        <v>777</v>
      </c>
      <c r="D193" s="5">
        <v>140</v>
      </c>
      <c r="E193" s="5">
        <v>11435</v>
      </c>
      <c r="F193" s="5">
        <v>1.6</v>
      </c>
      <c r="G193" s="5">
        <v>6832</v>
      </c>
      <c r="H193" t="str">
        <f>IF(AND(A193 &gt;= 'Task - Upliftment'!$E$2, A193 &lt;= 'Task - Upliftment'!$F$2, OR(B193="Instagram", B193="Facebook")),
    "Present",
    IF(A193 &lt; 'Task - Upliftment'!$E$2,
       IF(OR(B193="Instagram", B193="Facebook"), "Before", "NP"),
       "NP"))</f>
        <v>NP</v>
      </c>
      <c r="I193" t="str">
        <f>IF(AND(A193 &gt;= 'Task - Upliftment'!$E$3, A193 &lt;= 'Task - Upliftment'!$F$3, OR(B193="Instagram", B193="YouTube")),
    "Present",
    IF(A193 &lt; 'Task - Upliftment'!$E$3,
       IF(OR(B193="Instagram", B193="YouTube"), "Before", "NP"),
       "NP"))</f>
        <v>NP</v>
      </c>
      <c r="J193" t="str">
        <f>IF(AND(A193 &gt;= 'Task - Upliftment'!$E$4, A193 &lt;= 'Task - Upliftment'!$F$4, OR(B193="Facebook", B193="Twitter")),
    "Present",
    IF(A193 &lt; 'Task - Upliftment'!$E$4,
       IF(OR(B193="Facebook", B193="Twitter"), "Before", "NP"),
       "NP"))</f>
        <v>NP</v>
      </c>
      <c r="K193" t="str">
        <f>IF(AND(A193 &gt;= 'Task - Upliftment'!$E$5, A193 &lt;= 'Task - Upliftment'!$F$5, OR(B193="Instagram", B193="Twitter")),
    "Present",
    IF(A193 &lt; 'Task - Upliftment'!$E$5,
       IF(OR(B193="Instagram", B193="Twitter"), "Before", "NP"),
       "NP"))</f>
        <v>NP</v>
      </c>
    </row>
    <row r="194" spans="1:11" x14ac:dyDescent="0.3">
      <c r="A194" s="27" t="s">
        <v>79</v>
      </c>
      <c r="B194" s="5" t="s">
        <v>33</v>
      </c>
      <c r="C194" s="5">
        <v>1957</v>
      </c>
      <c r="D194" s="5">
        <v>76</v>
      </c>
      <c r="E194" s="5">
        <v>447902</v>
      </c>
      <c r="F194" s="5">
        <v>6.09</v>
      </c>
      <c r="G194" s="5">
        <v>33381</v>
      </c>
      <c r="H194" t="str">
        <f>IF(AND(A194 &gt;= 'Task - Upliftment'!$E$2, A194 &lt;= 'Task - Upliftment'!$F$2, OR(B194="Instagram", B194="Facebook")),
    "Present",
    IF(A194 &lt; 'Task - Upliftment'!$E$2,
       IF(OR(B194="Instagram", B194="Facebook"), "Before", "NP"),
       "NP"))</f>
        <v>NP</v>
      </c>
      <c r="I194" t="str">
        <f>IF(AND(A194 &gt;= 'Task - Upliftment'!$E$3, A194 &lt;= 'Task - Upliftment'!$F$3, OR(B194="Instagram", B194="YouTube")),
    "Present",
    IF(A194 &lt; 'Task - Upliftment'!$E$3,
       IF(OR(B194="Instagram", B194="YouTube"), "Before", "NP"),
       "NP"))</f>
        <v>NP</v>
      </c>
      <c r="J194" t="str">
        <f>IF(AND(A194 &gt;= 'Task - Upliftment'!$E$4, A194 &lt;= 'Task - Upliftment'!$F$4, OR(B194="Facebook", B194="Twitter")),
    "Present",
    IF(A194 &lt; 'Task - Upliftment'!$E$4,
       IF(OR(B194="Facebook", B194="Twitter"), "Before", "NP"),
       "NP"))</f>
        <v>NP</v>
      </c>
      <c r="K194" t="str">
        <f>IF(AND(A194 &gt;= 'Task - Upliftment'!$E$5, A194 &lt;= 'Task - Upliftment'!$F$5, OR(B194="Instagram", B194="Twitter")),
    "Present",
    IF(A194 &lt; 'Task - Upliftment'!$E$5,
       IF(OR(B194="Instagram", B194="Twitter"), "Before", "NP"),
       "NP"))</f>
        <v>NP</v>
      </c>
    </row>
    <row r="195" spans="1:11" x14ac:dyDescent="0.3">
      <c r="A195" s="27" t="s">
        <v>79</v>
      </c>
      <c r="B195" s="5" t="s">
        <v>43</v>
      </c>
      <c r="C195" s="5">
        <v>405</v>
      </c>
      <c r="D195" s="5">
        <v>66</v>
      </c>
      <c r="E195" s="5">
        <v>418696</v>
      </c>
      <c r="F195" s="5">
        <v>5.59</v>
      </c>
      <c r="G195" s="5">
        <v>48419</v>
      </c>
      <c r="H195" t="str">
        <f>IF(AND(A195 &gt;= 'Task - Upliftment'!$E$2, A195 &lt;= 'Task - Upliftment'!$F$2, OR(B195="Instagram", B195="Facebook")),
    "Present",
    IF(A195 &lt; 'Task - Upliftment'!$E$2,
       IF(OR(B195="Instagram", B195="Facebook"), "Before", "NP"),
       "NP"))</f>
        <v>NP</v>
      </c>
      <c r="I195" t="str">
        <f>IF(AND(A195 &gt;= 'Task - Upliftment'!$E$3, A195 &lt;= 'Task - Upliftment'!$F$3, OR(B195="Instagram", B195="YouTube")),
    "Present",
    IF(A195 &lt; 'Task - Upliftment'!$E$3,
       IF(OR(B195="Instagram", B195="YouTube"), "Before", "NP"),
       "NP"))</f>
        <v>NP</v>
      </c>
      <c r="J195" t="str">
        <f>IF(AND(A195 &gt;= 'Task - Upliftment'!$E$4, A195 &lt;= 'Task - Upliftment'!$F$4, OR(B195="Facebook", B195="Twitter")),
    "Present",
    IF(A195 &lt; 'Task - Upliftment'!$E$4,
       IF(OR(B195="Facebook", B195="Twitter"), "Before", "NP"),
       "NP"))</f>
        <v>NP</v>
      </c>
      <c r="K195" t="str">
        <f>IF(AND(A195 &gt;= 'Task - Upliftment'!$E$5, A195 &lt;= 'Task - Upliftment'!$F$5, OR(B195="Instagram", B195="Twitter")),
    "Present",
    IF(A195 &lt; 'Task - Upliftment'!$E$5,
       IF(OR(B195="Instagram", B195="Twitter"), "Before", "NP"),
       "NP"))</f>
        <v>NP</v>
      </c>
    </row>
    <row r="196" spans="1:11" x14ac:dyDescent="0.3">
      <c r="A196" s="27" t="s">
        <v>79</v>
      </c>
      <c r="B196" s="5" t="s">
        <v>14</v>
      </c>
      <c r="C196" s="5">
        <v>1581</v>
      </c>
      <c r="D196" s="5">
        <v>71</v>
      </c>
      <c r="E196" s="5">
        <v>484364</v>
      </c>
      <c r="F196" s="5">
        <v>3.55</v>
      </c>
      <c r="G196" s="5">
        <v>16149</v>
      </c>
      <c r="H196" t="str">
        <f>IF(AND(A196 &gt;= 'Task - Upliftment'!$E$2, A196 &lt;= 'Task - Upliftment'!$F$2, OR(B196="Instagram", B196="Facebook")),
    "Present",
    IF(A196 &lt; 'Task - Upliftment'!$E$2,
       IF(OR(B196="Instagram", B196="Facebook"), "Before", "NP"),
       "NP"))</f>
        <v>NP</v>
      </c>
      <c r="I196" t="str">
        <f>IF(AND(A196 &gt;= 'Task - Upliftment'!$E$3, A196 &lt;= 'Task - Upliftment'!$F$3, OR(B196="Instagram", B196="YouTube")),
    "Present",
    IF(A196 &lt; 'Task - Upliftment'!$E$3,
       IF(OR(B196="Instagram", B196="YouTube"), "Before", "NP"),
       "NP"))</f>
        <v>NP</v>
      </c>
      <c r="J196" t="str">
        <f>IF(AND(A196 &gt;= 'Task - Upliftment'!$E$4, A196 &lt;= 'Task - Upliftment'!$F$4, OR(B196="Facebook", B196="Twitter")),
    "Present",
    IF(A196 &lt; 'Task - Upliftment'!$E$4,
       IF(OR(B196="Facebook", B196="Twitter"), "Before", "NP"),
       "NP"))</f>
        <v>NP</v>
      </c>
      <c r="K196" t="str">
        <f>IF(AND(A196 &gt;= 'Task - Upliftment'!$E$5, A196 &lt;= 'Task - Upliftment'!$F$5, OR(B196="Instagram", B196="Twitter")),
    "Present",
    IF(A196 &lt; 'Task - Upliftment'!$E$5,
       IF(OR(B196="Instagram", B196="Twitter"), "Before", "NP"),
       "NP"))</f>
        <v>NP</v>
      </c>
    </row>
    <row r="197" spans="1:11" x14ac:dyDescent="0.3">
      <c r="A197" s="27" t="s">
        <v>79</v>
      </c>
      <c r="B197" s="5" t="s">
        <v>27</v>
      </c>
      <c r="C197" s="5">
        <v>1035</v>
      </c>
      <c r="D197" s="5">
        <v>171</v>
      </c>
      <c r="E197" s="5">
        <v>148477</v>
      </c>
      <c r="F197" s="5">
        <v>5.21</v>
      </c>
      <c r="G197" s="5">
        <v>7541</v>
      </c>
      <c r="H197" t="str">
        <f>IF(AND(A197 &gt;= 'Task - Upliftment'!$E$2, A197 &lt;= 'Task - Upliftment'!$F$2, OR(B197="Instagram", B197="Facebook")),
    "Present",
    IF(A197 &lt; 'Task - Upliftment'!$E$2,
       IF(OR(B197="Instagram", B197="Facebook"), "Before", "NP"),
       "NP"))</f>
        <v>NP</v>
      </c>
      <c r="I197" t="str">
        <f>IF(AND(A197 &gt;= 'Task - Upliftment'!$E$3, A197 &lt;= 'Task - Upliftment'!$F$3, OR(B197="Instagram", B197="YouTube")),
    "Present",
    IF(A197 &lt; 'Task - Upliftment'!$E$3,
       IF(OR(B197="Instagram", B197="YouTube"), "Before", "NP"),
       "NP"))</f>
        <v>NP</v>
      </c>
      <c r="J197" t="str">
        <f>IF(AND(A197 &gt;= 'Task - Upliftment'!$E$4, A197 &lt;= 'Task - Upliftment'!$F$4, OR(B197="Facebook", B197="Twitter")),
    "Present",
    IF(A197 &lt; 'Task - Upliftment'!$E$4,
       IF(OR(B197="Facebook", B197="Twitter"), "Before", "NP"),
       "NP"))</f>
        <v>NP</v>
      </c>
      <c r="K197" t="str">
        <f>IF(AND(A197 &gt;= 'Task - Upliftment'!$E$5, A197 &lt;= 'Task - Upliftment'!$F$5, OR(B197="Instagram", B197="Twitter")),
    "Present",
    IF(A197 &lt; 'Task - Upliftment'!$E$5,
       IF(OR(B197="Instagram", B197="Twitter"), "Before", "NP"),
       "NP"))</f>
        <v>NP</v>
      </c>
    </row>
    <row r="198" spans="1:11" x14ac:dyDescent="0.3">
      <c r="A198" s="27" t="s">
        <v>28</v>
      </c>
      <c r="B198" s="5" t="s">
        <v>33</v>
      </c>
      <c r="C198" s="5">
        <v>1765</v>
      </c>
      <c r="D198" s="5">
        <v>109</v>
      </c>
      <c r="E198" s="5">
        <v>468301</v>
      </c>
      <c r="F198" s="5">
        <v>1.82</v>
      </c>
      <c r="G198" s="5">
        <v>20042</v>
      </c>
      <c r="H198" t="str">
        <f>IF(AND(A198 &gt;= 'Task - Upliftment'!$E$2, A198 &lt;= 'Task - Upliftment'!$F$2, OR(B198="Instagram", B198="Facebook")),
    "Present",
    IF(A198 &lt; 'Task - Upliftment'!$E$2,
       IF(OR(B198="Instagram", B198="Facebook"), "Before", "NP"),
       "NP"))</f>
        <v>NP</v>
      </c>
      <c r="I198" t="str">
        <f>IF(AND(A198 &gt;= 'Task - Upliftment'!$E$3, A198 &lt;= 'Task - Upliftment'!$F$3, OR(B198="Instagram", B198="YouTube")),
    "Present",
    IF(A198 &lt; 'Task - Upliftment'!$E$3,
       IF(OR(B198="Instagram", B198="YouTube"), "Before", "NP"),
       "NP"))</f>
        <v>NP</v>
      </c>
      <c r="J198" t="str">
        <f>IF(AND(A198 &gt;= 'Task - Upliftment'!$E$4, A198 &lt;= 'Task - Upliftment'!$F$4, OR(B198="Facebook", B198="Twitter")),
    "Present",
    IF(A198 &lt; 'Task - Upliftment'!$E$4,
       IF(OR(B198="Facebook", B198="Twitter"), "Before", "NP"),
       "NP"))</f>
        <v>NP</v>
      </c>
      <c r="K198" t="str">
        <f>IF(AND(A198 &gt;= 'Task - Upliftment'!$E$5, A198 &lt;= 'Task - Upliftment'!$F$5, OR(B198="Instagram", B198="Twitter")),
    "Present",
    IF(A198 &lt; 'Task - Upliftment'!$E$5,
       IF(OR(B198="Instagram", B198="Twitter"), "Before", "NP"),
       "NP"))</f>
        <v>NP</v>
      </c>
    </row>
    <row r="199" spans="1:11" x14ac:dyDescent="0.3">
      <c r="A199" s="27" t="s">
        <v>28</v>
      </c>
      <c r="B199" s="5" t="s">
        <v>43</v>
      </c>
      <c r="C199" s="5">
        <v>837</v>
      </c>
      <c r="D199" s="5">
        <v>430</v>
      </c>
      <c r="E199" s="5">
        <v>364820</v>
      </c>
      <c r="F199" s="5">
        <v>4</v>
      </c>
      <c r="G199" s="5">
        <v>49400</v>
      </c>
      <c r="H199" t="str">
        <f>IF(AND(A199 &gt;= 'Task - Upliftment'!$E$2, A199 &lt;= 'Task - Upliftment'!$F$2, OR(B199="Instagram", B199="Facebook")),
    "Present",
    IF(A199 &lt; 'Task - Upliftment'!$E$2,
       IF(OR(B199="Instagram", B199="Facebook"), "Before", "NP"),
       "NP"))</f>
        <v>NP</v>
      </c>
      <c r="I199" t="str">
        <f>IF(AND(A199 &gt;= 'Task - Upliftment'!$E$3, A199 &lt;= 'Task - Upliftment'!$F$3, OR(B199="Instagram", B199="YouTube")),
    "Present",
    IF(A199 &lt; 'Task - Upliftment'!$E$3,
       IF(OR(B199="Instagram", B199="YouTube"), "Before", "NP"),
       "NP"))</f>
        <v>NP</v>
      </c>
      <c r="J199" t="str">
        <f>IF(AND(A199 &gt;= 'Task - Upliftment'!$E$4, A199 &lt;= 'Task - Upliftment'!$F$4, OR(B199="Facebook", B199="Twitter")),
    "Present",
    IF(A199 &lt; 'Task - Upliftment'!$E$4,
       IF(OR(B199="Facebook", B199="Twitter"), "Before", "NP"),
       "NP"))</f>
        <v>NP</v>
      </c>
      <c r="K199" t="str">
        <f>IF(AND(A199 &gt;= 'Task - Upliftment'!$E$5, A199 &lt;= 'Task - Upliftment'!$F$5, OR(B199="Instagram", B199="Twitter")),
    "Present",
    IF(A199 &lt; 'Task - Upliftment'!$E$5,
       IF(OR(B199="Instagram", B199="Twitter"), "Before", "NP"),
       "NP"))</f>
        <v>NP</v>
      </c>
    </row>
    <row r="200" spans="1:11" x14ac:dyDescent="0.3">
      <c r="A200" s="27" t="s">
        <v>28</v>
      </c>
      <c r="B200" s="5" t="s">
        <v>14</v>
      </c>
      <c r="C200" s="5">
        <v>337</v>
      </c>
      <c r="D200" s="5">
        <v>68</v>
      </c>
      <c r="E200" s="5">
        <v>456298</v>
      </c>
      <c r="F200" s="5">
        <v>7.57</v>
      </c>
      <c r="G200" s="5">
        <v>4007</v>
      </c>
      <c r="H200" t="str">
        <f>IF(AND(A200 &gt;= 'Task - Upliftment'!$E$2, A200 &lt;= 'Task - Upliftment'!$F$2, OR(B200="Instagram", B200="Facebook")),
    "Present",
    IF(A200 &lt; 'Task - Upliftment'!$E$2,
       IF(OR(B200="Instagram", B200="Facebook"), "Before", "NP"),
       "NP"))</f>
        <v>NP</v>
      </c>
      <c r="I200" t="str">
        <f>IF(AND(A200 &gt;= 'Task - Upliftment'!$E$3, A200 &lt;= 'Task - Upliftment'!$F$3, OR(B200="Instagram", B200="YouTube")),
    "Present",
    IF(A200 &lt; 'Task - Upliftment'!$E$3,
       IF(OR(B200="Instagram", B200="YouTube"), "Before", "NP"),
       "NP"))</f>
        <v>NP</v>
      </c>
      <c r="J200" t="str">
        <f>IF(AND(A200 &gt;= 'Task - Upliftment'!$E$4, A200 &lt;= 'Task - Upliftment'!$F$4, OR(B200="Facebook", B200="Twitter")),
    "Present",
    IF(A200 &lt; 'Task - Upliftment'!$E$4,
       IF(OR(B200="Facebook", B200="Twitter"), "Before", "NP"),
       "NP"))</f>
        <v>NP</v>
      </c>
      <c r="K200" t="str">
        <f>IF(AND(A200 &gt;= 'Task - Upliftment'!$E$5, A200 &lt;= 'Task - Upliftment'!$F$5, OR(B200="Instagram", B200="Twitter")),
    "Present",
    IF(A200 &lt; 'Task - Upliftment'!$E$5,
       IF(OR(B200="Instagram", B200="Twitter"), "Before", "NP"),
       "NP"))</f>
        <v>NP</v>
      </c>
    </row>
    <row r="201" spans="1:11" x14ac:dyDescent="0.3">
      <c r="A201" s="27" t="s">
        <v>28</v>
      </c>
      <c r="B201" s="5" t="s">
        <v>27</v>
      </c>
      <c r="C201" s="5">
        <v>119</v>
      </c>
      <c r="D201" s="5">
        <v>456</v>
      </c>
      <c r="E201" s="5">
        <v>82558</v>
      </c>
      <c r="F201" s="5">
        <v>6.81</v>
      </c>
      <c r="G201" s="5">
        <v>12174</v>
      </c>
      <c r="H201" t="str">
        <f>IF(AND(A201 &gt;= 'Task - Upliftment'!$E$2, A201 &lt;= 'Task - Upliftment'!$F$2, OR(B201="Instagram", B201="Facebook")),
    "Present",
    IF(A201 &lt; 'Task - Upliftment'!$E$2,
       IF(OR(B201="Instagram", B201="Facebook"), "Before", "NP"),
       "NP"))</f>
        <v>NP</v>
      </c>
      <c r="I201" t="str">
        <f>IF(AND(A201 &gt;= 'Task - Upliftment'!$E$3, A201 &lt;= 'Task - Upliftment'!$F$3, OR(B201="Instagram", B201="YouTube")),
    "Present",
    IF(A201 &lt; 'Task - Upliftment'!$E$3,
       IF(OR(B201="Instagram", B201="YouTube"), "Before", "NP"),
       "NP"))</f>
        <v>NP</v>
      </c>
      <c r="J201" t="str">
        <f>IF(AND(A201 &gt;= 'Task - Upliftment'!$E$4, A201 &lt;= 'Task - Upliftment'!$F$4, OR(B201="Facebook", B201="Twitter")),
    "Present",
    IF(A201 &lt; 'Task - Upliftment'!$E$4,
       IF(OR(B201="Facebook", B201="Twitter"), "Before", "NP"),
       "NP"))</f>
        <v>NP</v>
      </c>
      <c r="K201" t="str">
        <f>IF(AND(A201 &gt;= 'Task - Upliftment'!$E$5, A201 &lt;= 'Task - Upliftment'!$F$5, OR(B201="Instagram", B201="Twitter")),
    "Present",
    IF(A201 &lt; 'Task - Upliftment'!$E$5,
       IF(OR(B201="Instagram", B201="Twitter"), "Before", "NP"),
       "NP"))</f>
        <v>NP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BBFD-29B2-46DB-B461-CD7367A4B09D}">
  <dimension ref="A1:J13"/>
  <sheetViews>
    <sheetView workbookViewId="0">
      <selection activeCell="D9" sqref="D9"/>
    </sheetView>
  </sheetViews>
  <sheetFormatPr defaultRowHeight="14.4" x14ac:dyDescent="0.3"/>
  <cols>
    <col min="1" max="1" width="18.109375" customWidth="1"/>
    <col min="2" max="2" width="14.33203125" customWidth="1"/>
    <col min="3" max="3" width="19.44140625" customWidth="1"/>
    <col min="4" max="4" width="14.88671875" customWidth="1"/>
    <col min="10" max="10" width="8.88671875" style="8"/>
  </cols>
  <sheetData>
    <row r="1" spans="1:4" ht="15.6" x14ac:dyDescent="0.3">
      <c r="A1" s="9" t="s">
        <v>567</v>
      </c>
      <c r="B1" s="10" t="s">
        <v>568</v>
      </c>
      <c r="C1" s="10" t="s">
        <v>569</v>
      </c>
      <c r="D1" s="10" t="s">
        <v>570</v>
      </c>
    </row>
    <row r="2" spans="1:4" x14ac:dyDescent="0.3">
      <c r="A2" s="5" t="s">
        <v>19</v>
      </c>
      <c r="B2" s="8">
        <f>AVERAGEIF('Data Used -1'!M:M,A2,'Data Used -1'!F:F)</f>
        <v>2891.5208333333335</v>
      </c>
      <c r="C2" s="8">
        <f>AVERAGEIF('Data Used -1'!M:M,A2,'Data Used -1'!I:I)</f>
        <v>38464</v>
      </c>
      <c r="D2" s="7">
        <f>AVERAGEIF('Data Used -1'!M:M,A2,'Data Used -1'!K:K)</f>
        <v>134.04166666666666</v>
      </c>
    </row>
    <row r="3" spans="1:4" x14ac:dyDescent="0.3">
      <c r="A3" s="5" t="s">
        <v>25</v>
      </c>
      <c r="B3" s="8">
        <f>AVERAGEIF('Data Used -1'!M:M,A3,'Data Used -1'!F:F)</f>
        <v>2754.8793103448274</v>
      </c>
      <c r="C3" s="8">
        <f>AVERAGEIF('Data Used -1'!M:M,A3,'Data Used -1'!I:I)</f>
        <v>34247.517241379312</v>
      </c>
      <c r="D3" s="7">
        <f>AVERAGEIF('Data Used -1'!M:M,A3,'Data Used -1'!K:K)</f>
        <v>170.20689655172413</v>
      </c>
    </row>
    <row r="4" spans="1:4" x14ac:dyDescent="0.3">
      <c r="A4" s="5" t="s">
        <v>31</v>
      </c>
      <c r="B4" s="8">
        <f>AVERAGEIF('Data Used -1'!M:M,A4,'Data Used -1'!F:F)</f>
        <v>2736.5074626865671</v>
      </c>
      <c r="C4" s="8">
        <f>AVERAGEIF('Data Used -1'!M:M,A4,'Data Used -1'!I:I)</f>
        <v>33821.686567164179</v>
      </c>
      <c r="D4" s="7">
        <f>AVERAGEIF('Data Used -1'!M:M,A4,'Data Used -1'!K:K)</f>
        <v>149.73134328358208</v>
      </c>
    </row>
    <row r="5" spans="1:4" x14ac:dyDescent="0.3">
      <c r="A5" s="5" t="s">
        <v>38</v>
      </c>
      <c r="B5" s="8">
        <f>AVERAGEIF('Data Used -1'!M:M,A5,'Data Used -1'!F:F)</f>
        <v>2646.605633802817</v>
      </c>
      <c r="C5" s="8">
        <f>AVERAGEIF('Data Used -1'!M:M,A5,'Data Used -1'!I:I)</f>
        <v>34716.394366197186</v>
      </c>
      <c r="D5" s="7">
        <f>AVERAGEIF('Data Used -1'!M:M,A5,'Data Used -1'!K:K)</f>
        <v>150.54929577464787</v>
      </c>
    </row>
    <row r="6" spans="1:4" x14ac:dyDescent="0.3">
      <c r="A6" s="5"/>
      <c r="B6" s="8"/>
      <c r="C6" s="8"/>
      <c r="D6" s="7"/>
    </row>
    <row r="7" spans="1:4" x14ac:dyDescent="0.3">
      <c r="A7" s="5"/>
    </row>
    <row r="8" spans="1:4" ht="15.6" x14ac:dyDescent="0.3">
      <c r="A8" s="17" t="s">
        <v>567</v>
      </c>
      <c r="B8" s="18" t="s">
        <v>571</v>
      </c>
      <c r="C8" s="18" t="s">
        <v>572</v>
      </c>
      <c r="D8" s="18" t="s">
        <v>573</v>
      </c>
    </row>
    <row r="9" spans="1:4" x14ac:dyDescent="0.3">
      <c r="A9" s="11" t="s">
        <v>19</v>
      </c>
      <c r="B9" s="13">
        <f>SUMIF('Data Used -1'!M:M,Sum[[#This Row],[Campaign Name]],'Data Used -1'!F:F)</f>
        <v>138793</v>
      </c>
      <c r="C9" s="13">
        <f>SUMIF('Data Used -1'!M:M,A9,'Data Used -1'!I:I)</f>
        <v>1846272</v>
      </c>
      <c r="D9" s="14">
        <f>SUMIF('Data Used -1'!M:M,A9,'Data Used -1'!K:K)</f>
        <v>6434</v>
      </c>
    </row>
    <row r="10" spans="1:4" x14ac:dyDescent="0.3">
      <c r="A10" s="12" t="s">
        <v>25</v>
      </c>
      <c r="B10" s="13">
        <f>SUMIF('Data Used -1'!M:M,A3,'Data Used -1'!F:F)</f>
        <v>159783</v>
      </c>
      <c r="C10" s="15">
        <f>SUMIF('Data Used -1'!M:M,A10,'Data Used -1'!I:I)</f>
        <v>1986356</v>
      </c>
      <c r="D10" s="16">
        <f>SUMIF('Data Used -1'!M:M,A10,'Data Used -1'!K:K)</f>
        <v>9872</v>
      </c>
    </row>
    <row r="11" spans="1:4" x14ac:dyDescent="0.3">
      <c r="A11" s="11" t="s">
        <v>31</v>
      </c>
      <c r="B11" s="13">
        <f>SUMIF('Data Used -1'!M:M,A4,'Data Used -1'!F:F)</f>
        <v>183346</v>
      </c>
      <c r="C11" s="13">
        <f>SUMIF('Data Used -1'!M:M,A11,'Data Used -1'!I:I)</f>
        <v>2266053</v>
      </c>
      <c r="D11" s="14">
        <f>SUMIF('Data Used -1'!M:M,A11,'Data Used -1'!K:K)</f>
        <v>10032</v>
      </c>
    </row>
    <row r="12" spans="1:4" x14ac:dyDescent="0.3">
      <c r="A12" s="19" t="s">
        <v>38</v>
      </c>
      <c r="B12" s="20">
        <f>SUMIF('Data Used -1'!M:M,A5,'Data Used -1'!F:F)</f>
        <v>187909</v>
      </c>
      <c r="C12" s="21">
        <f>SUMIF('Data Used -1'!M:M,A12,'Data Used -1'!I:I)</f>
        <v>2464864</v>
      </c>
      <c r="D12" s="22">
        <f>SUMIF('Data Used -1'!M:M,A12,'Data Used -1'!K:K)</f>
        <v>10689</v>
      </c>
    </row>
    <row r="13" spans="1:4" x14ac:dyDescent="0.3">
      <c r="B13" s="8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5D4F-4D5A-4608-AA48-744E45A67E26}">
  <dimension ref="A1:F5"/>
  <sheetViews>
    <sheetView workbookViewId="0">
      <selection activeCell="D9" sqref="D9"/>
    </sheetView>
  </sheetViews>
  <sheetFormatPr defaultRowHeight="14.4" x14ac:dyDescent="0.3"/>
  <cols>
    <col min="1" max="1" width="15.5546875" bestFit="1" customWidth="1"/>
    <col min="2" max="2" width="30.44140625" bestFit="1" customWidth="1"/>
    <col min="3" max="3" width="30.77734375" bestFit="1" customWidth="1"/>
    <col min="4" max="4" width="16.77734375" style="44" bestFit="1" customWidth="1"/>
    <col min="5" max="5" width="11.5546875" style="28" customWidth="1"/>
    <col min="6" max="6" width="10.33203125" style="28" bestFit="1" customWidth="1"/>
  </cols>
  <sheetData>
    <row r="1" spans="1:6" x14ac:dyDescent="0.3">
      <c r="A1" s="1" t="s">
        <v>12</v>
      </c>
      <c r="B1" s="6" t="s">
        <v>596</v>
      </c>
      <c r="C1" s="6" t="s">
        <v>624</v>
      </c>
      <c r="D1" s="47" t="s">
        <v>625</v>
      </c>
      <c r="E1" s="29" t="s">
        <v>574</v>
      </c>
      <c r="F1" s="31" t="s">
        <v>575</v>
      </c>
    </row>
    <row r="2" spans="1:6" x14ac:dyDescent="0.3">
      <c r="A2" s="23" t="s">
        <v>19</v>
      </c>
      <c r="B2" s="34">
        <f>AVERAGEIF('Data Used - 3'!H:H,"Present",'Data Used - 3'!F:F)</f>
        <v>6.1280000000000001</v>
      </c>
      <c r="C2" s="34">
        <f>AVERAGEIF('Data Used - 3'!H:H,"Before",'Data Used - 3'!F:F)</f>
        <v>6.1150000000000011</v>
      </c>
      <c r="D2" s="37">
        <f>(B2-C2)/C2</f>
        <v>2.1259198691740001E-3</v>
      </c>
      <c r="E2" s="30" t="s">
        <v>580</v>
      </c>
      <c r="F2" s="33" t="s">
        <v>315</v>
      </c>
    </row>
    <row r="3" spans="1:6" x14ac:dyDescent="0.3">
      <c r="A3" s="23" t="s">
        <v>25</v>
      </c>
      <c r="B3" s="34">
        <f>AVERAGEIF('Data Used - 3'!I:I,"Present",'Data Used - 3'!F:F)</f>
        <v>5.7162500000000005</v>
      </c>
      <c r="C3" s="34">
        <f>+AVERAGEIF('Data Used - 3'!I:I,"Before",'Data Used - 3'!F:F)</f>
        <v>5.6236111111111136</v>
      </c>
      <c r="D3" s="37">
        <f t="shared" ref="D3:D5" si="0">(B3-C3)/C3</f>
        <v>1.6473203260063858E-2</v>
      </c>
      <c r="E3" s="30" t="s">
        <v>583</v>
      </c>
      <c r="F3" s="33" t="s">
        <v>44</v>
      </c>
    </row>
    <row r="4" spans="1:6" x14ac:dyDescent="0.3">
      <c r="A4" s="23" t="s">
        <v>31</v>
      </c>
      <c r="B4" s="34">
        <f>AVERAGEIF('Data Used - 3'!J:J,"Present",'Data Used - 3'!F:F)</f>
        <v>4.5474999999999994</v>
      </c>
      <c r="C4" s="34">
        <f>+AVERAGEIF('Data Used - 3'!J:J,"Before",'Data Used - 3'!F:F)</f>
        <v>5.8706666666666676</v>
      </c>
      <c r="D4" s="37">
        <f t="shared" si="0"/>
        <v>-0.2253861003861006</v>
      </c>
      <c r="E4" s="30" t="s">
        <v>587</v>
      </c>
      <c r="F4" s="33" t="s">
        <v>230</v>
      </c>
    </row>
    <row r="5" spans="1:6" x14ac:dyDescent="0.3">
      <c r="A5" s="23" t="s">
        <v>38</v>
      </c>
      <c r="B5" s="34">
        <f>AVERAGEIF('Data Used - 3'!K:K,"Present",'Data Used - 3'!F:F)</f>
        <v>5.9670000000000005</v>
      </c>
      <c r="C5" s="34">
        <f>AVERAGEIF('Data Used - 3'!K:K,"Before",'Data Used - 3'!F:F)</f>
        <v>5.7956410256410305</v>
      </c>
      <c r="D5" s="37">
        <f t="shared" si="0"/>
        <v>2.9566871654204428E-2</v>
      </c>
      <c r="E5" s="30" t="s">
        <v>591</v>
      </c>
      <c r="F5" s="33" t="s">
        <v>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F181-16A4-4E31-BB9C-EAD31188D82F}">
  <dimension ref="A1:D5"/>
  <sheetViews>
    <sheetView tabSelected="1" workbookViewId="0">
      <selection activeCell="D2" sqref="D2"/>
    </sheetView>
  </sheetViews>
  <sheetFormatPr defaultRowHeight="14.4" x14ac:dyDescent="0.3"/>
  <cols>
    <col min="1" max="1" width="14.44140625" bestFit="1" customWidth="1"/>
    <col min="2" max="2" width="16.5546875" style="8" bestFit="1" customWidth="1"/>
    <col min="3" max="3" width="15.88671875" bestFit="1" customWidth="1"/>
    <col min="4" max="4" width="12.5546875" bestFit="1" customWidth="1"/>
  </cols>
  <sheetData>
    <row r="1" spans="1:4" x14ac:dyDescent="0.3">
      <c r="A1" s="1" t="s">
        <v>12</v>
      </c>
      <c r="B1" s="35" t="s">
        <v>626</v>
      </c>
      <c r="C1" s="6" t="s">
        <v>627</v>
      </c>
      <c r="D1" s="6" t="s">
        <v>628</v>
      </c>
    </row>
    <row r="2" spans="1:4" x14ac:dyDescent="0.3">
      <c r="A2" s="23" t="s">
        <v>19</v>
      </c>
      <c r="B2" s="36">
        <v>150000</v>
      </c>
      <c r="C2" s="34">
        <f>AVERAGEIF('Data Used - 3'!H:H,"Present",'Data Used - 3'!$F:$F)</f>
        <v>6.1280000000000001</v>
      </c>
      <c r="D2" s="37">
        <f>C2/B2*100</f>
        <v>4.085333333333334E-3</v>
      </c>
    </row>
    <row r="3" spans="1:4" x14ac:dyDescent="0.3">
      <c r="A3" s="23" t="s">
        <v>25</v>
      </c>
      <c r="B3" s="36">
        <v>200000</v>
      </c>
      <c r="C3" s="34">
        <f>AVERAGEIF('Data Used - 3'!I:I,"Present",'Data Used - 3'!$F:$F)</f>
        <v>5.7162500000000005</v>
      </c>
      <c r="D3" s="37">
        <f t="shared" ref="D3:D5" si="0">C3/B3*100</f>
        <v>2.8581250000000004E-3</v>
      </c>
    </row>
    <row r="4" spans="1:4" x14ac:dyDescent="0.3">
      <c r="A4" s="23" t="s">
        <v>31</v>
      </c>
      <c r="B4" s="36">
        <v>250000</v>
      </c>
      <c r="C4" s="34">
        <f>AVERAGEIF('Data Used - 3'!J:J,"Present",'Data Used - 3'!$F:$F)</f>
        <v>4.5474999999999994</v>
      </c>
      <c r="D4" s="37">
        <f t="shared" si="0"/>
        <v>1.8189999999999997E-3</v>
      </c>
    </row>
    <row r="5" spans="1:4" x14ac:dyDescent="0.3">
      <c r="A5" s="23" t="s">
        <v>38</v>
      </c>
      <c r="B5" s="36">
        <v>180000</v>
      </c>
      <c r="C5" s="34">
        <f>AVERAGEIF('Data Used - 3'!K:K,"Present",'Data Used - 3'!$F:$F)</f>
        <v>5.9670000000000005</v>
      </c>
      <c r="D5" s="37">
        <f t="shared" si="0"/>
        <v>3.3150000000000007E-3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E6F0-3FCE-431D-944A-81CBEB7AF7E4}">
  <dimension ref="A1:S201"/>
  <sheetViews>
    <sheetView workbookViewId="0">
      <selection activeCell="F16" sqref="F16"/>
    </sheetView>
  </sheetViews>
  <sheetFormatPr defaultRowHeight="14.4" x14ac:dyDescent="0.3"/>
  <cols>
    <col min="1" max="1" width="15.5546875" bestFit="1" customWidth="1"/>
    <col min="2" max="2" width="32.5546875" bestFit="1" customWidth="1"/>
    <col min="3" max="3" width="18" bestFit="1" customWidth="1"/>
    <col min="4" max="4" width="14.109375" bestFit="1" customWidth="1"/>
    <col min="5" max="5" width="10.88671875" bestFit="1" customWidth="1"/>
    <col min="6" max="7" width="15.5546875" customWidth="1"/>
    <col min="8" max="8" width="6.77734375" customWidth="1"/>
    <col min="9" max="9" width="15.77734375" bestFit="1" customWidth="1"/>
    <col min="10" max="10" width="9.109375" bestFit="1" customWidth="1"/>
    <col min="11" max="11" width="8.6640625" bestFit="1" customWidth="1"/>
    <col min="12" max="12" width="9.44140625" bestFit="1" customWidth="1"/>
    <col min="13" max="13" width="8.6640625" bestFit="1" customWidth="1"/>
    <col min="14" max="14" width="8.77734375" bestFit="1" customWidth="1"/>
    <col min="16" max="16" width="8.109375" bestFit="1" customWidth="1"/>
    <col min="17" max="17" width="8.77734375" customWidth="1"/>
  </cols>
  <sheetData>
    <row r="1" spans="1:19" x14ac:dyDescent="0.3">
      <c r="A1" s="1" t="s">
        <v>12</v>
      </c>
      <c r="B1" s="6" t="s">
        <v>629</v>
      </c>
      <c r="C1" s="6" t="s">
        <v>630</v>
      </c>
      <c r="D1" s="6" t="s">
        <v>631</v>
      </c>
      <c r="E1" s="46" t="s">
        <v>632</v>
      </c>
      <c r="F1" s="38" t="s">
        <v>574</v>
      </c>
      <c r="G1" s="1" t="s">
        <v>575</v>
      </c>
      <c r="I1" s="26"/>
      <c r="J1" s="1"/>
      <c r="K1" s="2"/>
      <c r="L1" s="1"/>
      <c r="M1" s="2"/>
      <c r="N1" s="2"/>
      <c r="O1" s="40"/>
      <c r="P1" s="41"/>
      <c r="Q1" s="42"/>
      <c r="R1" s="24"/>
      <c r="S1" s="24"/>
    </row>
    <row r="2" spans="1:19" x14ac:dyDescent="0.3">
      <c r="A2" s="23" t="s">
        <v>19</v>
      </c>
      <c r="B2" s="32">
        <f>SUMIF('Data Used - 3'!H:H,"Before",'Data Used - 3'!E:E)</f>
        <v>752450</v>
      </c>
      <c r="C2" s="43">
        <f>SUMIF('Data Used - 3'!H:H,"Present",'Data Used - 3'!C:C)</f>
        <v>10459</v>
      </c>
      <c r="D2" s="45">
        <f>SUMIF('Data Used - 3'!H:H,"Present",'Data Used - 3'!D:D)</f>
        <v>2378</v>
      </c>
      <c r="E2" s="37">
        <f>((C2-D2)/B2)</f>
        <v>1.0739584025516646E-2</v>
      </c>
      <c r="F2" s="39" t="s">
        <v>580</v>
      </c>
      <c r="G2" s="23" t="s">
        <v>315</v>
      </c>
      <c r="I2" s="27"/>
      <c r="J2" s="5"/>
      <c r="K2" s="5"/>
      <c r="L2" s="5"/>
      <c r="M2" s="5"/>
      <c r="N2" s="5"/>
      <c r="O2" s="5"/>
    </row>
    <row r="3" spans="1:19" x14ac:dyDescent="0.3">
      <c r="A3" s="23" t="s">
        <v>25</v>
      </c>
      <c r="B3" s="32">
        <f>SUMIF('Data Used - 3'!I:I,"Before",'Data Used - 3'!E:E)</f>
        <v>8998409</v>
      </c>
      <c r="C3" s="43">
        <f>SUMIF('Data Used - 3'!I:I,"Present",'Data Used - 3'!C:C)</f>
        <v>9053</v>
      </c>
      <c r="D3" s="45">
        <f>SUMIF('Data Used - 3'!I:I,"Present",'Data Used - 3'!D:D)</f>
        <v>1493</v>
      </c>
      <c r="E3" s="37">
        <f t="shared" ref="E3:E5" si="0">((C3-D3)/B3)</f>
        <v>8.4014851958829609E-4</v>
      </c>
      <c r="F3" s="39" t="s">
        <v>583</v>
      </c>
      <c r="G3" s="23" t="s">
        <v>44</v>
      </c>
      <c r="I3" s="27"/>
      <c r="J3" s="5"/>
      <c r="K3" s="5"/>
      <c r="L3" s="5"/>
      <c r="M3" s="5"/>
      <c r="N3" s="5"/>
      <c r="O3" s="5"/>
    </row>
    <row r="4" spans="1:19" x14ac:dyDescent="0.3">
      <c r="A4" s="23" t="s">
        <v>31</v>
      </c>
      <c r="B4" s="32">
        <f>SUMIF('Data Used - 3'!J:J,"Before",'Data Used - 3'!E:E)</f>
        <v>16253254</v>
      </c>
      <c r="C4" s="43">
        <f>SUMIF('Data Used - 3'!J:J,"Present",'Data Used - 3'!C:C)</f>
        <v>6215</v>
      </c>
      <c r="D4" s="45">
        <f>SUMIF('Data Used - 3'!J:J,"Present",'Data Used - 3'!D:D)</f>
        <v>1102</v>
      </c>
      <c r="E4" s="37">
        <f t="shared" si="0"/>
        <v>3.1458315977834345E-4</v>
      </c>
      <c r="F4" s="39" t="s">
        <v>587</v>
      </c>
      <c r="G4" s="23" t="s">
        <v>230</v>
      </c>
      <c r="I4" s="27"/>
      <c r="J4" s="5"/>
      <c r="K4" s="5"/>
      <c r="L4" s="5"/>
      <c r="M4" s="5"/>
      <c r="N4" s="5"/>
      <c r="O4" s="5"/>
    </row>
    <row r="5" spans="1:19" x14ac:dyDescent="0.3">
      <c r="A5" s="23" t="s">
        <v>38</v>
      </c>
      <c r="B5" s="32">
        <f>SUMIF('Data Used - 3'!K:K,"Before",'Data Used - 3'!E:E)</f>
        <v>21395555</v>
      </c>
      <c r="C5" s="43">
        <f>SUMIF('Data Used - 3'!K:K,"Present",'Data Used - 3'!C:C)</f>
        <v>10121</v>
      </c>
      <c r="D5" s="45">
        <f>SUMIF('Data Used - 3'!K:K,"Present",'Data Used - 3'!D:D)</f>
        <v>1734</v>
      </c>
      <c r="E5" s="37">
        <f t="shared" si="0"/>
        <v>3.9199730972157537E-4</v>
      </c>
      <c r="F5" s="39" t="s">
        <v>591</v>
      </c>
      <c r="G5" s="23" t="s">
        <v>592</v>
      </c>
      <c r="I5" s="27"/>
      <c r="J5" s="5"/>
      <c r="K5" s="5"/>
      <c r="L5" s="5"/>
      <c r="M5" s="5"/>
      <c r="N5" s="5"/>
      <c r="O5" s="5"/>
    </row>
    <row r="6" spans="1:19" x14ac:dyDescent="0.3">
      <c r="I6" s="27"/>
      <c r="J6" s="5"/>
      <c r="K6" s="5"/>
      <c r="L6" s="5"/>
      <c r="M6" s="5"/>
      <c r="N6" s="5"/>
      <c r="O6" s="5"/>
    </row>
    <row r="7" spans="1:19" x14ac:dyDescent="0.3">
      <c r="I7" s="27"/>
      <c r="J7" s="5"/>
      <c r="K7" s="5"/>
      <c r="L7" s="5"/>
      <c r="M7" s="5"/>
      <c r="N7" s="5"/>
      <c r="O7" s="5"/>
    </row>
    <row r="8" spans="1:19" x14ac:dyDescent="0.3">
      <c r="I8" s="27"/>
      <c r="J8" s="5"/>
      <c r="K8" s="5"/>
      <c r="L8" s="5"/>
      <c r="M8" s="5"/>
      <c r="N8" s="5"/>
      <c r="O8" s="5"/>
    </row>
    <row r="9" spans="1:19" x14ac:dyDescent="0.3">
      <c r="I9" s="27"/>
      <c r="J9" s="5"/>
      <c r="K9" s="5"/>
      <c r="L9" s="5"/>
      <c r="M9" s="5"/>
      <c r="N9" s="5"/>
      <c r="O9" s="5"/>
    </row>
    <row r="10" spans="1:19" x14ac:dyDescent="0.3">
      <c r="I10" s="27"/>
      <c r="J10" s="5"/>
      <c r="K10" s="5"/>
      <c r="L10" s="5"/>
      <c r="M10" s="5"/>
      <c r="N10" s="5"/>
      <c r="O10" s="5"/>
    </row>
    <row r="11" spans="1:19" x14ac:dyDescent="0.3">
      <c r="I11" s="27"/>
      <c r="J11" s="5"/>
      <c r="K11" s="5"/>
      <c r="L11" s="5"/>
      <c r="M11" s="5"/>
      <c r="N11" s="5"/>
      <c r="O11" s="5"/>
    </row>
    <row r="12" spans="1:19" x14ac:dyDescent="0.3">
      <c r="I12" s="27"/>
      <c r="J12" s="5"/>
      <c r="K12" s="5"/>
      <c r="L12" s="5"/>
      <c r="M12" s="5"/>
      <c r="N12" s="5"/>
      <c r="O12" s="5"/>
    </row>
    <row r="13" spans="1:19" x14ac:dyDescent="0.3">
      <c r="I13" s="27"/>
      <c r="J13" s="5"/>
      <c r="K13" s="5"/>
      <c r="L13" s="5"/>
      <c r="M13" s="5"/>
      <c r="N13" s="5"/>
      <c r="O13" s="5"/>
    </row>
    <row r="14" spans="1:19" x14ac:dyDescent="0.3">
      <c r="I14" s="27"/>
      <c r="J14" s="5"/>
      <c r="K14" s="5"/>
      <c r="L14" s="5"/>
      <c r="M14" s="5"/>
      <c r="N14" s="5"/>
      <c r="O14" s="5"/>
    </row>
    <row r="15" spans="1:19" x14ac:dyDescent="0.3">
      <c r="I15" s="27"/>
      <c r="J15" s="5"/>
      <c r="K15" s="5"/>
      <c r="L15" s="5"/>
      <c r="M15" s="5"/>
      <c r="N15" s="5"/>
      <c r="O15" s="5"/>
    </row>
    <row r="16" spans="1:19" x14ac:dyDescent="0.3">
      <c r="I16" s="27"/>
      <c r="J16" s="5"/>
      <c r="K16" s="5"/>
      <c r="L16" s="5"/>
      <c r="M16" s="5"/>
      <c r="N16" s="5"/>
      <c r="O16" s="5"/>
    </row>
    <row r="17" spans="9:15" x14ac:dyDescent="0.3">
      <c r="I17" s="27"/>
      <c r="J17" s="5"/>
      <c r="K17" s="5"/>
      <c r="L17" s="5"/>
      <c r="M17" s="5"/>
      <c r="N17" s="5"/>
      <c r="O17" s="5"/>
    </row>
    <row r="18" spans="9:15" x14ac:dyDescent="0.3">
      <c r="I18" s="27"/>
      <c r="J18" s="5"/>
      <c r="K18" s="5"/>
      <c r="L18" s="5"/>
      <c r="M18" s="5"/>
      <c r="N18" s="5"/>
      <c r="O18" s="5"/>
    </row>
    <row r="19" spans="9:15" x14ac:dyDescent="0.3">
      <c r="I19" s="27"/>
      <c r="J19" s="5"/>
      <c r="K19" s="5"/>
      <c r="L19" s="5"/>
      <c r="M19" s="5"/>
      <c r="N19" s="5"/>
      <c r="O19" s="5"/>
    </row>
    <row r="20" spans="9:15" x14ac:dyDescent="0.3">
      <c r="I20" s="27"/>
      <c r="J20" s="5"/>
      <c r="K20" s="5"/>
      <c r="L20" s="5"/>
      <c r="M20" s="5"/>
      <c r="N20" s="5"/>
      <c r="O20" s="5"/>
    </row>
    <row r="21" spans="9:15" x14ac:dyDescent="0.3">
      <c r="I21" s="27"/>
      <c r="J21" s="5"/>
      <c r="K21" s="5"/>
      <c r="L21" s="5"/>
      <c r="M21" s="5"/>
      <c r="N21" s="5"/>
      <c r="O21" s="5"/>
    </row>
    <row r="22" spans="9:15" x14ac:dyDescent="0.3">
      <c r="I22" s="27"/>
      <c r="J22" s="5"/>
      <c r="K22" s="5"/>
      <c r="L22" s="5"/>
      <c r="M22" s="5"/>
      <c r="N22" s="5"/>
      <c r="O22" s="5"/>
    </row>
    <row r="23" spans="9:15" x14ac:dyDescent="0.3">
      <c r="I23" s="27"/>
      <c r="J23" s="5"/>
      <c r="K23" s="5"/>
      <c r="L23" s="5"/>
      <c r="M23" s="5"/>
      <c r="N23" s="5"/>
      <c r="O23" s="5"/>
    </row>
    <row r="24" spans="9:15" x14ac:dyDescent="0.3">
      <c r="I24" s="27"/>
      <c r="J24" s="5"/>
      <c r="K24" s="5"/>
      <c r="L24" s="5"/>
      <c r="M24" s="5"/>
      <c r="N24" s="5"/>
      <c r="O24" s="5"/>
    </row>
    <row r="25" spans="9:15" x14ac:dyDescent="0.3">
      <c r="I25" s="27"/>
      <c r="J25" s="5"/>
      <c r="K25" s="5"/>
      <c r="L25" s="5"/>
      <c r="M25" s="5"/>
      <c r="N25" s="5"/>
      <c r="O25" s="5"/>
    </row>
    <row r="26" spans="9:15" x14ac:dyDescent="0.3">
      <c r="I26" s="27"/>
      <c r="J26" s="5"/>
      <c r="K26" s="5"/>
      <c r="L26" s="5"/>
      <c r="M26" s="5"/>
      <c r="N26" s="5"/>
      <c r="O26" s="5"/>
    </row>
    <row r="27" spans="9:15" x14ac:dyDescent="0.3">
      <c r="I27" s="27"/>
      <c r="J27" s="5"/>
      <c r="K27" s="5"/>
      <c r="L27" s="5"/>
      <c r="M27" s="5"/>
      <c r="N27" s="5"/>
      <c r="O27" s="5"/>
    </row>
    <row r="28" spans="9:15" x14ac:dyDescent="0.3">
      <c r="I28" s="27"/>
      <c r="J28" s="5"/>
      <c r="K28" s="5"/>
      <c r="L28" s="5"/>
      <c r="M28" s="5"/>
      <c r="N28" s="5"/>
      <c r="O28" s="5"/>
    </row>
    <row r="29" spans="9:15" x14ac:dyDescent="0.3">
      <c r="I29" s="27"/>
      <c r="J29" s="5"/>
      <c r="K29" s="5"/>
      <c r="L29" s="5"/>
      <c r="M29" s="5"/>
      <c r="N29" s="5"/>
      <c r="O29" s="5"/>
    </row>
    <row r="30" spans="9:15" x14ac:dyDescent="0.3">
      <c r="I30" s="27"/>
      <c r="J30" s="5"/>
      <c r="K30" s="5"/>
      <c r="L30" s="5"/>
      <c r="M30" s="5"/>
      <c r="N30" s="5"/>
      <c r="O30" s="5"/>
    </row>
    <row r="31" spans="9:15" x14ac:dyDescent="0.3">
      <c r="I31" s="27"/>
      <c r="J31" s="5"/>
      <c r="K31" s="5"/>
      <c r="L31" s="5"/>
      <c r="M31" s="5"/>
      <c r="N31" s="5"/>
      <c r="O31" s="5"/>
    </row>
    <row r="32" spans="9:15" x14ac:dyDescent="0.3">
      <c r="I32" s="27"/>
      <c r="J32" s="5"/>
      <c r="K32" s="5"/>
      <c r="L32" s="5"/>
      <c r="M32" s="5"/>
      <c r="N32" s="5"/>
      <c r="O32" s="5"/>
    </row>
    <row r="33" spans="9:15" x14ac:dyDescent="0.3">
      <c r="I33" s="27"/>
      <c r="J33" s="5"/>
      <c r="K33" s="5"/>
      <c r="L33" s="5"/>
      <c r="M33" s="5"/>
      <c r="N33" s="5"/>
      <c r="O33" s="5"/>
    </row>
    <row r="34" spans="9:15" x14ac:dyDescent="0.3">
      <c r="I34" s="27"/>
      <c r="J34" s="5"/>
      <c r="K34" s="5"/>
      <c r="L34" s="5"/>
      <c r="M34" s="5"/>
      <c r="N34" s="5"/>
      <c r="O34" s="5"/>
    </row>
    <row r="35" spans="9:15" x14ac:dyDescent="0.3">
      <c r="I35" s="27"/>
      <c r="J35" s="5"/>
      <c r="K35" s="5"/>
      <c r="L35" s="5"/>
      <c r="M35" s="5"/>
      <c r="N35" s="5"/>
      <c r="O35" s="5"/>
    </row>
    <row r="36" spans="9:15" x14ac:dyDescent="0.3">
      <c r="I36" s="27"/>
      <c r="J36" s="5"/>
      <c r="K36" s="5"/>
      <c r="L36" s="5"/>
      <c r="M36" s="5"/>
      <c r="N36" s="5"/>
      <c r="O36" s="5"/>
    </row>
    <row r="37" spans="9:15" x14ac:dyDescent="0.3">
      <c r="I37" s="27"/>
      <c r="J37" s="5"/>
      <c r="K37" s="5"/>
      <c r="L37" s="5"/>
      <c r="M37" s="5"/>
      <c r="N37" s="5"/>
      <c r="O37" s="5"/>
    </row>
    <row r="38" spans="9:15" x14ac:dyDescent="0.3">
      <c r="I38" s="27"/>
      <c r="J38" s="5"/>
      <c r="K38" s="5"/>
      <c r="L38" s="5"/>
      <c r="M38" s="5"/>
      <c r="N38" s="5"/>
      <c r="O38" s="5"/>
    </row>
    <row r="39" spans="9:15" x14ac:dyDescent="0.3">
      <c r="I39" s="27"/>
      <c r="J39" s="5"/>
      <c r="K39" s="5"/>
      <c r="L39" s="5"/>
      <c r="M39" s="5"/>
      <c r="N39" s="5"/>
      <c r="O39" s="5"/>
    </row>
    <row r="40" spans="9:15" x14ac:dyDescent="0.3">
      <c r="I40" s="27"/>
      <c r="J40" s="5"/>
      <c r="K40" s="5"/>
      <c r="L40" s="5"/>
      <c r="M40" s="5"/>
      <c r="N40" s="5"/>
      <c r="O40" s="5"/>
    </row>
    <row r="41" spans="9:15" x14ac:dyDescent="0.3">
      <c r="I41" s="27"/>
      <c r="J41" s="5"/>
      <c r="K41" s="5"/>
      <c r="L41" s="5"/>
      <c r="M41" s="5"/>
      <c r="N41" s="5"/>
      <c r="O41" s="5"/>
    </row>
    <row r="42" spans="9:15" x14ac:dyDescent="0.3">
      <c r="I42" s="27"/>
      <c r="J42" s="5"/>
      <c r="K42" s="5"/>
      <c r="L42" s="5"/>
      <c r="M42" s="5"/>
      <c r="N42" s="5"/>
      <c r="O42" s="5"/>
    </row>
    <row r="43" spans="9:15" x14ac:dyDescent="0.3">
      <c r="I43" s="27"/>
      <c r="J43" s="5"/>
      <c r="K43" s="5"/>
      <c r="L43" s="5"/>
      <c r="M43" s="5"/>
      <c r="N43" s="5"/>
      <c r="O43" s="5"/>
    </row>
    <row r="44" spans="9:15" x14ac:dyDescent="0.3">
      <c r="I44" s="27"/>
      <c r="J44" s="5"/>
      <c r="K44" s="5"/>
      <c r="L44" s="5"/>
      <c r="M44" s="5"/>
      <c r="N44" s="5"/>
      <c r="O44" s="5"/>
    </row>
    <row r="45" spans="9:15" x14ac:dyDescent="0.3">
      <c r="I45" s="27"/>
      <c r="J45" s="5"/>
      <c r="K45" s="5"/>
      <c r="L45" s="5"/>
      <c r="M45" s="5"/>
      <c r="N45" s="5"/>
      <c r="O45" s="5"/>
    </row>
    <row r="46" spans="9:15" x14ac:dyDescent="0.3">
      <c r="I46" s="27"/>
      <c r="J46" s="5"/>
      <c r="K46" s="5"/>
      <c r="L46" s="5"/>
      <c r="M46" s="5"/>
      <c r="N46" s="5"/>
      <c r="O46" s="5"/>
    </row>
    <row r="47" spans="9:15" x14ac:dyDescent="0.3">
      <c r="I47" s="27"/>
      <c r="J47" s="5"/>
      <c r="K47" s="5"/>
      <c r="L47" s="5"/>
      <c r="M47" s="5"/>
      <c r="N47" s="5"/>
      <c r="O47" s="5"/>
    </row>
    <row r="48" spans="9:15" x14ac:dyDescent="0.3">
      <c r="I48" s="27"/>
      <c r="J48" s="5"/>
      <c r="K48" s="5"/>
      <c r="L48" s="5"/>
      <c r="M48" s="5"/>
      <c r="N48" s="5"/>
      <c r="O48" s="5"/>
    </row>
    <row r="49" spans="9:15" x14ac:dyDescent="0.3">
      <c r="I49" s="27"/>
      <c r="J49" s="5"/>
      <c r="K49" s="5"/>
      <c r="L49" s="5"/>
      <c r="M49" s="5"/>
      <c r="N49" s="5"/>
      <c r="O49" s="5"/>
    </row>
    <row r="50" spans="9:15" x14ac:dyDescent="0.3">
      <c r="I50" s="27"/>
      <c r="J50" s="5"/>
      <c r="K50" s="5"/>
      <c r="L50" s="5"/>
      <c r="M50" s="5"/>
      <c r="N50" s="5"/>
      <c r="O50" s="5"/>
    </row>
    <row r="51" spans="9:15" x14ac:dyDescent="0.3">
      <c r="I51" s="27"/>
      <c r="J51" s="5"/>
      <c r="K51" s="5"/>
      <c r="L51" s="5"/>
      <c r="M51" s="5"/>
      <c r="N51" s="5"/>
      <c r="O51" s="5"/>
    </row>
    <row r="52" spans="9:15" x14ac:dyDescent="0.3">
      <c r="I52" s="27"/>
      <c r="J52" s="5"/>
      <c r="K52" s="5"/>
      <c r="L52" s="5"/>
      <c r="M52" s="5"/>
      <c r="N52" s="5"/>
      <c r="O52" s="5"/>
    </row>
    <row r="53" spans="9:15" x14ac:dyDescent="0.3">
      <c r="I53" s="27"/>
      <c r="J53" s="5"/>
      <c r="K53" s="5"/>
      <c r="L53" s="5"/>
      <c r="M53" s="5"/>
      <c r="N53" s="5"/>
      <c r="O53" s="5"/>
    </row>
    <row r="54" spans="9:15" x14ac:dyDescent="0.3">
      <c r="I54" s="27"/>
      <c r="J54" s="5"/>
      <c r="K54" s="5"/>
      <c r="L54" s="5"/>
      <c r="M54" s="5"/>
      <c r="N54" s="5"/>
      <c r="O54" s="5"/>
    </row>
    <row r="55" spans="9:15" x14ac:dyDescent="0.3">
      <c r="I55" s="27"/>
      <c r="J55" s="5"/>
      <c r="K55" s="5"/>
      <c r="L55" s="5"/>
      <c r="M55" s="5"/>
      <c r="N55" s="5"/>
      <c r="O55" s="5"/>
    </row>
    <row r="56" spans="9:15" x14ac:dyDescent="0.3">
      <c r="I56" s="27"/>
      <c r="J56" s="5"/>
      <c r="K56" s="5"/>
      <c r="L56" s="5"/>
      <c r="M56" s="5"/>
      <c r="N56" s="5"/>
      <c r="O56" s="5"/>
    </row>
    <row r="57" spans="9:15" x14ac:dyDescent="0.3">
      <c r="I57" s="27"/>
      <c r="J57" s="5"/>
      <c r="K57" s="5"/>
      <c r="L57" s="5"/>
      <c r="M57" s="5"/>
      <c r="N57" s="5"/>
      <c r="O57" s="5"/>
    </row>
    <row r="58" spans="9:15" x14ac:dyDescent="0.3">
      <c r="I58" s="27"/>
      <c r="J58" s="5"/>
      <c r="K58" s="5"/>
      <c r="L58" s="5"/>
      <c r="M58" s="5"/>
      <c r="N58" s="5"/>
      <c r="O58" s="5"/>
    </row>
    <row r="59" spans="9:15" x14ac:dyDescent="0.3">
      <c r="I59" s="27"/>
      <c r="J59" s="5"/>
      <c r="K59" s="5"/>
      <c r="L59" s="5"/>
      <c r="M59" s="5"/>
      <c r="N59" s="5"/>
      <c r="O59" s="5"/>
    </row>
    <row r="60" spans="9:15" x14ac:dyDescent="0.3">
      <c r="I60" s="27"/>
      <c r="J60" s="5"/>
      <c r="K60" s="5"/>
      <c r="L60" s="5"/>
      <c r="M60" s="5"/>
      <c r="N60" s="5"/>
      <c r="O60" s="5"/>
    </row>
    <row r="61" spans="9:15" x14ac:dyDescent="0.3">
      <c r="I61" s="27"/>
      <c r="J61" s="5"/>
      <c r="K61" s="5"/>
      <c r="L61" s="5"/>
      <c r="M61" s="5"/>
      <c r="N61" s="5"/>
      <c r="O61" s="5"/>
    </row>
    <row r="62" spans="9:15" x14ac:dyDescent="0.3">
      <c r="I62" s="27"/>
      <c r="J62" s="5"/>
      <c r="K62" s="5"/>
      <c r="L62" s="5"/>
      <c r="M62" s="5"/>
      <c r="N62" s="5"/>
      <c r="O62" s="5"/>
    </row>
    <row r="63" spans="9:15" x14ac:dyDescent="0.3">
      <c r="I63" s="27"/>
      <c r="J63" s="5"/>
      <c r="K63" s="5"/>
      <c r="L63" s="5"/>
      <c r="M63" s="5"/>
      <c r="N63" s="5"/>
      <c r="O63" s="5"/>
    </row>
    <row r="64" spans="9:15" x14ac:dyDescent="0.3">
      <c r="I64" s="27"/>
      <c r="J64" s="5"/>
      <c r="K64" s="5"/>
      <c r="L64" s="5"/>
      <c r="M64" s="5"/>
      <c r="N64" s="5"/>
      <c r="O64" s="5"/>
    </row>
    <row r="65" spans="9:15" x14ac:dyDescent="0.3">
      <c r="I65" s="27"/>
      <c r="J65" s="5"/>
      <c r="K65" s="5"/>
      <c r="L65" s="5"/>
      <c r="M65" s="5"/>
      <c r="N65" s="5"/>
      <c r="O65" s="5"/>
    </row>
    <row r="66" spans="9:15" x14ac:dyDescent="0.3">
      <c r="I66" s="27"/>
      <c r="J66" s="5"/>
      <c r="K66" s="5"/>
      <c r="L66" s="5"/>
      <c r="M66" s="5"/>
      <c r="N66" s="5"/>
      <c r="O66" s="5"/>
    </row>
    <row r="67" spans="9:15" x14ac:dyDescent="0.3">
      <c r="I67" s="27"/>
      <c r="J67" s="5"/>
      <c r="K67" s="5"/>
      <c r="L67" s="5"/>
      <c r="M67" s="5"/>
      <c r="N67" s="5"/>
      <c r="O67" s="5"/>
    </row>
    <row r="68" spans="9:15" x14ac:dyDescent="0.3">
      <c r="I68" s="27"/>
      <c r="J68" s="5"/>
      <c r="K68" s="5"/>
      <c r="L68" s="5"/>
      <c r="M68" s="5"/>
      <c r="N68" s="5"/>
      <c r="O68" s="5"/>
    </row>
    <row r="69" spans="9:15" x14ac:dyDescent="0.3">
      <c r="I69" s="27"/>
      <c r="J69" s="5"/>
      <c r="K69" s="5"/>
      <c r="L69" s="5"/>
      <c r="M69" s="5"/>
      <c r="N69" s="5"/>
      <c r="O69" s="5"/>
    </row>
    <row r="70" spans="9:15" x14ac:dyDescent="0.3">
      <c r="I70" s="27"/>
      <c r="J70" s="5"/>
      <c r="K70" s="5"/>
      <c r="L70" s="5"/>
      <c r="M70" s="5"/>
      <c r="N70" s="5"/>
      <c r="O70" s="5"/>
    </row>
    <row r="71" spans="9:15" x14ac:dyDescent="0.3">
      <c r="I71" s="27"/>
      <c r="J71" s="5"/>
      <c r="K71" s="5"/>
      <c r="L71" s="5"/>
      <c r="M71" s="5"/>
      <c r="N71" s="5"/>
      <c r="O71" s="5"/>
    </row>
    <row r="72" spans="9:15" x14ac:dyDescent="0.3">
      <c r="I72" s="27"/>
      <c r="J72" s="5"/>
      <c r="K72" s="5"/>
      <c r="L72" s="5"/>
      <c r="M72" s="5"/>
      <c r="N72" s="5"/>
      <c r="O72" s="5"/>
    </row>
    <row r="73" spans="9:15" x14ac:dyDescent="0.3">
      <c r="I73" s="27"/>
      <c r="J73" s="5"/>
      <c r="K73" s="5"/>
      <c r="L73" s="5"/>
      <c r="M73" s="5"/>
      <c r="N73" s="5"/>
      <c r="O73" s="5"/>
    </row>
    <row r="74" spans="9:15" x14ac:dyDescent="0.3">
      <c r="I74" s="27"/>
      <c r="J74" s="5"/>
      <c r="K74" s="5"/>
      <c r="L74" s="5"/>
      <c r="M74" s="5"/>
      <c r="N74" s="5"/>
      <c r="O74" s="5"/>
    </row>
    <row r="75" spans="9:15" x14ac:dyDescent="0.3">
      <c r="I75" s="27"/>
      <c r="J75" s="5"/>
      <c r="K75" s="5"/>
      <c r="L75" s="5"/>
      <c r="M75" s="5"/>
      <c r="N75" s="5"/>
      <c r="O75" s="5"/>
    </row>
    <row r="76" spans="9:15" x14ac:dyDescent="0.3">
      <c r="I76" s="27"/>
      <c r="J76" s="5"/>
      <c r="K76" s="5"/>
      <c r="L76" s="5"/>
      <c r="M76" s="5"/>
      <c r="N76" s="5"/>
      <c r="O76" s="5"/>
    </row>
    <row r="77" spans="9:15" x14ac:dyDescent="0.3">
      <c r="I77" s="27"/>
      <c r="J77" s="5"/>
      <c r="K77" s="5"/>
      <c r="L77" s="5"/>
      <c r="M77" s="5"/>
      <c r="N77" s="5"/>
      <c r="O77" s="5"/>
    </row>
    <row r="78" spans="9:15" x14ac:dyDescent="0.3">
      <c r="I78" s="27"/>
      <c r="J78" s="5"/>
      <c r="K78" s="5"/>
      <c r="L78" s="5"/>
      <c r="M78" s="5"/>
      <c r="N78" s="5"/>
      <c r="O78" s="5"/>
    </row>
    <row r="79" spans="9:15" x14ac:dyDescent="0.3">
      <c r="I79" s="27"/>
      <c r="J79" s="5"/>
      <c r="K79" s="5"/>
      <c r="L79" s="5"/>
      <c r="M79" s="5"/>
      <c r="N79" s="5"/>
      <c r="O79" s="5"/>
    </row>
    <row r="80" spans="9:15" x14ac:dyDescent="0.3">
      <c r="I80" s="27"/>
      <c r="J80" s="5"/>
      <c r="K80" s="5"/>
      <c r="L80" s="5"/>
      <c r="M80" s="5"/>
      <c r="N80" s="5"/>
      <c r="O80" s="5"/>
    </row>
    <row r="81" spans="9:15" x14ac:dyDescent="0.3">
      <c r="I81" s="27"/>
      <c r="J81" s="5"/>
      <c r="K81" s="5"/>
      <c r="L81" s="5"/>
      <c r="M81" s="5"/>
      <c r="N81" s="5"/>
      <c r="O81" s="5"/>
    </row>
    <row r="82" spans="9:15" x14ac:dyDescent="0.3">
      <c r="I82" s="27"/>
      <c r="J82" s="5"/>
      <c r="K82" s="5"/>
      <c r="L82" s="5"/>
      <c r="M82" s="5"/>
      <c r="N82" s="5"/>
      <c r="O82" s="5"/>
    </row>
    <row r="83" spans="9:15" x14ac:dyDescent="0.3">
      <c r="I83" s="27"/>
      <c r="J83" s="5"/>
      <c r="K83" s="5"/>
      <c r="L83" s="5"/>
      <c r="M83" s="5"/>
      <c r="N83" s="5"/>
      <c r="O83" s="5"/>
    </row>
    <row r="84" spans="9:15" x14ac:dyDescent="0.3">
      <c r="I84" s="27"/>
      <c r="J84" s="5"/>
      <c r="K84" s="5"/>
      <c r="L84" s="5"/>
      <c r="M84" s="5"/>
      <c r="N84" s="5"/>
      <c r="O84" s="5"/>
    </row>
    <row r="85" spans="9:15" x14ac:dyDescent="0.3">
      <c r="I85" s="27"/>
      <c r="J85" s="5"/>
      <c r="K85" s="5"/>
      <c r="L85" s="5"/>
      <c r="M85" s="5"/>
      <c r="N85" s="5"/>
      <c r="O85" s="5"/>
    </row>
    <row r="86" spans="9:15" x14ac:dyDescent="0.3">
      <c r="I86" s="27"/>
      <c r="J86" s="5"/>
      <c r="K86" s="5"/>
      <c r="L86" s="5"/>
      <c r="M86" s="5"/>
      <c r="N86" s="5"/>
      <c r="O86" s="5"/>
    </row>
    <row r="87" spans="9:15" x14ac:dyDescent="0.3">
      <c r="I87" s="27"/>
      <c r="J87" s="5"/>
      <c r="K87" s="5"/>
      <c r="L87" s="5"/>
      <c r="M87" s="5"/>
      <c r="N87" s="5"/>
      <c r="O87" s="5"/>
    </row>
    <row r="88" spans="9:15" x14ac:dyDescent="0.3">
      <c r="I88" s="27"/>
      <c r="J88" s="5"/>
      <c r="K88" s="5"/>
      <c r="L88" s="5"/>
      <c r="M88" s="5"/>
      <c r="N88" s="5"/>
      <c r="O88" s="5"/>
    </row>
    <row r="89" spans="9:15" x14ac:dyDescent="0.3">
      <c r="I89" s="27"/>
      <c r="J89" s="5"/>
      <c r="K89" s="5"/>
      <c r="L89" s="5"/>
      <c r="M89" s="5"/>
      <c r="N89" s="5"/>
      <c r="O89" s="5"/>
    </row>
    <row r="90" spans="9:15" x14ac:dyDescent="0.3">
      <c r="I90" s="27"/>
      <c r="J90" s="5"/>
      <c r="K90" s="5"/>
      <c r="L90" s="5"/>
      <c r="M90" s="5"/>
      <c r="N90" s="5"/>
      <c r="O90" s="5"/>
    </row>
    <row r="91" spans="9:15" x14ac:dyDescent="0.3">
      <c r="I91" s="27"/>
      <c r="J91" s="5"/>
      <c r="K91" s="5"/>
      <c r="L91" s="5"/>
      <c r="M91" s="5"/>
      <c r="N91" s="5"/>
      <c r="O91" s="5"/>
    </row>
    <row r="92" spans="9:15" x14ac:dyDescent="0.3">
      <c r="I92" s="27"/>
      <c r="J92" s="5"/>
      <c r="K92" s="5"/>
      <c r="L92" s="5"/>
      <c r="M92" s="5"/>
      <c r="N92" s="5"/>
      <c r="O92" s="5"/>
    </row>
    <row r="93" spans="9:15" x14ac:dyDescent="0.3">
      <c r="I93" s="27"/>
      <c r="J93" s="5"/>
      <c r="K93" s="5"/>
      <c r="L93" s="5"/>
      <c r="M93" s="5"/>
      <c r="N93" s="5"/>
      <c r="O93" s="5"/>
    </row>
    <row r="94" spans="9:15" x14ac:dyDescent="0.3">
      <c r="I94" s="27"/>
      <c r="J94" s="5"/>
      <c r="K94" s="5"/>
      <c r="L94" s="5"/>
      <c r="M94" s="5"/>
      <c r="N94" s="5"/>
      <c r="O94" s="5"/>
    </row>
    <row r="95" spans="9:15" x14ac:dyDescent="0.3">
      <c r="I95" s="27"/>
      <c r="J95" s="5"/>
      <c r="K95" s="5"/>
      <c r="L95" s="5"/>
      <c r="M95" s="5"/>
      <c r="N95" s="5"/>
      <c r="O95" s="5"/>
    </row>
    <row r="96" spans="9:15" x14ac:dyDescent="0.3">
      <c r="I96" s="27"/>
      <c r="J96" s="5"/>
      <c r="K96" s="5"/>
      <c r="L96" s="5"/>
      <c r="M96" s="5"/>
      <c r="N96" s="5"/>
      <c r="O96" s="5"/>
    </row>
    <row r="97" spans="9:15" x14ac:dyDescent="0.3">
      <c r="I97" s="27"/>
      <c r="J97" s="5"/>
      <c r="K97" s="5"/>
      <c r="L97" s="5"/>
      <c r="M97" s="5"/>
      <c r="N97" s="5"/>
      <c r="O97" s="5"/>
    </row>
    <row r="98" spans="9:15" x14ac:dyDescent="0.3">
      <c r="I98" s="27"/>
      <c r="J98" s="5"/>
      <c r="K98" s="5"/>
      <c r="L98" s="5"/>
      <c r="M98" s="5"/>
      <c r="N98" s="5"/>
      <c r="O98" s="5"/>
    </row>
    <row r="99" spans="9:15" x14ac:dyDescent="0.3">
      <c r="I99" s="27"/>
      <c r="J99" s="5"/>
      <c r="K99" s="5"/>
      <c r="L99" s="5"/>
      <c r="M99" s="5"/>
      <c r="N99" s="5"/>
      <c r="O99" s="5"/>
    </row>
    <row r="100" spans="9:15" x14ac:dyDescent="0.3">
      <c r="I100" s="27"/>
      <c r="J100" s="5"/>
      <c r="K100" s="5"/>
      <c r="L100" s="5"/>
      <c r="M100" s="5"/>
      <c r="N100" s="5"/>
      <c r="O100" s="5"/>
    </row>
    <row r="101" spans="9:15" x14ac:dyDescent="0.3">
      <c r="I101" s="27"/>
      <c r="J101" s="5"/>
      <c r="K101" s="5"/>
      <c r="L101" s="5"/>
      <c r="M101" s="5"/>
      <c r="N101" s="5"/>
      <c r="O101" s="5"/>
    </row>
    <row r="102" spans="9:15" x14ac:dyDescent="0.3">
      <c r="I102" s="27"/>
      <c r="J102" s="5"/>
      <c r="K102" s="5"/>
      <c r="L102" s="5"/>
      <c r="M102" s="5"/>
      <c r="N102" s="5"/>
      <c r="O102" s="5"/>
    </row>
    <row r="103" spans="9:15" x14ac:dyDescent="0.3">
      <c r="I103" s="27"/>
      <c r="J103" s="5"/>
      <c r="K103" s="5"/>
      <c r="L103" s="5"/>
      <c r="M103" s="5"/>
      <c r="N103" s="5"/>
      <c r="O103" s="5"/>
    </row>
    <row r="104" spans="9:15" x14ac:dyDescent="0.3">
      <c r="I104" s="27"/>
      <c r="J104" s="5"/>
      <c r="K104" s="5"/>
      <c r="L104" s="5"/>
      <c r="M104" s="5"/>
      <c r="N104" s="5"/>
      <c r="O104" s="5"/>
    </row>
    <row r="105" spans="9:15" x14ac:dyDescent="0.3">
      <c r="I105" s="27"/>
      <c r="J105" s="5"/>
      <c r="K105" s="5"/>
      <c r="L105" s="5"/>
      <c r="M105" s="5"/>
      <c r="N105" s="5"/>
      <c r="O105" s="5"/>
    </row>
    <row r="106" spans="9:15" x14ac:dyDescent="0.3">
      <c r="I106" s="27"/>
      <c r="J106" s="5"/>
      <c r="K106" s="5"/>
      <c r="L106" s="5"/>
      <c r="M106" s="5"/>
      <c r="N106" s="5"/>
      <c r="O106" s="5"/>
    </row>
    <row r="107" spans="9:15" x14ac:dyDescent="0.3">
      <c r="I107" s="27"/>
      <c r="J107" s="5"/>
      <c r="K107" s="5"/>
      <c r="L107" s="5"/>
      <c r="M107" s="5"/>
      <c r="N107" s="5"/>
      <c r="O107" s="5"/>
    </row>
    <row r="108" spans="9:15" x14ac:dyDescent="0.3">
      <c r="I108" s="27"/>
      <c r="J108" s="5"/>
      <c r="K108" s="5"/>
      <c r="L108" s="5"/>
      <c r="M108" s="5"/>
      <c r="N108" s="5"/>
      <c r="O108" s="5"/>
    </row>
    <row r="109" spans="9:15" x14ac:dyDescent="0.3">
      <c r="I109" s="27"/>
      <c r="J109" s="5"/>
      <c r="K109" s="5"/>
      <c r="L109" s="5"/>
      <c r="M109" s="5"/>
      <c r="N109" s="5"/>
      <c r="O109" s="5"/>
    </row>
    <row r="110" spans="9:15" x14ac:dyDescent="0.3">
      <c r="I110" s="27"/>
      <c r="J110" s="5"/>
      <c r="K110" s="5"/>
      <c r="L110" s="5"/>
      <c r="M110" s="5"/>
      <c r="N110" s="5"/>
      <c r="O110" s="5"/>
    </row>
    <row r="111" spans="9:15" x14ac:dyDescent="0.3">
      <c r="I111" s="27"/>
      <c r="J111" s="5"/>
      <c r="K111" s="5"/>
      <c r="L111" s="5"/>
      <c r="M111" s="5"/>
      <c r="N111" s="5"/>
      <c r="O111" s="5"/>
    </row>
    <row r="112" spans="9:15" x14ac:dyDescent="0.3">
      <c r="I112" s="27"/>
      <c r="J112" s="5"/>
      <c r="K112" s="5"/>
      <c r="L112" s="5"/>
      <c r="M112" s="5"/>
      <c r="N112" s="5"/>
      <c r="O112" s="5"/>
    </row>
    <row r="113" spans="9:15" x14ac:dyDescent="0.3">
      <c r="I113" s="27"/>
      <c r="J113" s="5"/>
      <c r="K113" s="5"/>
      <c r="L113" s="5"/>
      <c r="M113" s="5"/>
      <c r="N113" s="5"/>
      <c r="O113" s="5"/>
    </row>
    <row r="114" spans="9:15" x14ac:dyDescent="0.3">
      <c r="I114" s="27"/>
      <c r="J114" s="5"/>
      <c r="K114" s="5"/>
      <c r="L114" s="5"/>
      <c r="M114" s="5"/>
      <c r="N114" s="5"/>
      <c r="O114" s="5"/>
    </row>
    <row r="115" spans="9:15" x14ac:dyDescent="0.3">
      <c r="I115" s="27"/>
      <c r="J115" s="5"/>
      <c r="K115" s="5"/>
      <c r="L115" s="5"/>
      <c r="M115" s="5"/>
      <c r="N115" s="5"/>
      <c r="O115" s="5"/>
    </row>
    <row r="116" spans="9:15" x14ac:dyDescent="0.3">
      <c r="I116" s="27"/>
      <c r="J116" s="5"/>
      <c r="K116" s="5"/>
      <c r="L116" s="5"/>
      <c r="M116" s="5"/>
      <c r="N116" s="5"/>
      <c r="O116" s="5"/>
    </row>
    <row r="117" spans="9:15" x14ac:dyDescent="0.3">
      <c r="I117" s="27"/>
      <c r="J117" s="5"/>
      <c r="K117" s="5"/>
      <c r="L117" s="5"/>
      <c r="M117" s="5"/>
      <c r="N117" s="5"/>
      <c r="O117" s="5"/>
    </row>
    <row r="118" spans="9:15" x14ac:dyDescent="0.3">
      <c r="I118" s="27"/>
      <c r="J118" s="5"/>
      <c r="K118" s="5"/>
      <c r="L118" s="5"/>
      <c r="M118" s="5"/>
      <c r="N118" s="5"/>
      <c r="O118" s="5"/>
    </row>
    <row r="119" spans="9:15" x14ac:dyDescent="0.3">
      <c r="I119" s="27"/>
      <c r="J119" s="5"/>
      <c r="K119" s="5"/>
      <c r="L119" s="5"/>
      <c r="M119" s="5"/>
      <c r="N119" s="5"/>
      <c r="O119" s="5"/>
    </row>
    <row r="120" spans="9:15" x14ac:dyDescent="0.3">
      <c r="I120" s="27"/>
      <c r="J120" s="5"/>
      <c r="K120" s="5"/>
      <c r="L120" s="5"/>
      <c r="M120" s="5"/>
      <c r="N120" s="5"/>
      <c r="O120" s="5"/>
    </row>
    <row r="121" spans="9:15" x14ac:dyDescent="0.3">
      <c r="I121" s="27"/>
      <c r="J121" s="5"/>
      <c r="K121" s="5"/>
      <c r="L121" s="5"/>
      <c r="M121" s="5"/>
      <c r="N121" s="5"/>
      <c r="O121" s="5"/>
    </row>
    <row r="122" spans="9:15" x14ac:dyDescent="0.3">
      <c r="I122" s="27"/>
      <c r="J122" s="5"/>
      <c r="K122" s="5"/>
      <c r="L122" s="5"/>
      <c r="M122" s="5"/>
      <c r="N122" s="5"/>
      <c r="O122" s="5"/>
    </row>
    <row r="123" spans="9:15" x14ac:dyDescent="0.3">
      <c r="I123" s="27"/>
      <c r="J123" s="5"/>
      <c r="K123" s="5"/>
      <c r="L123" s="5"/>
      <c r="M123" s="5"/>
      <c r="N123" s="5"/>
      <c r="O123" s="5"/>
    </row>
    <row r="124" spans="9:15" x14ac:dyDescent="0.3">
      <c r="I124" s="27"/>
      <c r="J124" s="5"/>
      <c r="K124" s="5"/>
      <c r="L124" s="5"/>
      <c r="M124" s="5"/>
      <c r="N124" s="5"/>
      <c r="O124" s="5"/>
    </row>
    <row r="125" spans="9:15" x14ac:dyDescent="0.3">
      <c r="I125" s="27"/>
      <c r="J125" s="5"/>
      <c r="K125" s="5"/>
      <c r="L125" s="5"/>
      <c r="M125" s="5"/>
      <c r="N125" s="5"/>
      <c r="O125" s="5"/>
    </row>
    <row r="126" spans="9:15" x14ac:dyDescent="0.3">
      <c r="I126" s="27"/>
      <c r="J126" s="5"/>
      <c r="K126" s="5"/>
      <c r="L126" s="5"/>
      <c r="M126" s="5"/>
      <c r="N126" s="5"/>
      <c r="O126" s="5"/>
    </row>
    <row r="127" spans="9:15" x14ac:dyDescent="0.3">
      <c r="I127" s="27"/>
      <c r="J127" s="5"/>
      <c r="K127" s="5"/>
      <c r="L127" s="5"/>
      <c r="M127" s="5"/>
      <c r="N127" s="5"/>
      <c r="O127" s="5"/>
    </row>
    <row r="128" spans="9:15" x14ac:dyDescent="0.3">
      <c r="I128" s="27"/>
      <c r="J128" s="5"/>
      <c r="K128" s="5"/>
      <c r="L128" s="5"/>
      <c r="M128" s="5"/>
      <c r="N128" s="5"/>
      <c r="O128" s="5"/>
    </row>
    <row r="129" spans="9:15" x14ac:dyDescent="0.3">
      <c r="I129" s="27"/>
      <c r="J129" s="5"/>
      <c r="K129" s="5"/>
      <c r="L129" s="5"/>
      <c r="M129" s="5"/>
      <c r="N129" s="5"/>
      <c r="O129" s="5"/>
    </row>
    <row r="130" spans="9:15" x14ac:dyDescent="0.3">
      <c r="I130" s="27"/>
      <c r="J130" s="5"/>
      <c r="K130" s="5"/>
      <c r="L130" s="5"/>
      <c r="M130" s="5"/>
      <c r="N130" s="5"/>
      <c r="O130" s="5"/>
    </row>
    <row r="131" spans="9:15" x14ac:dyDescent="0.3">
      <c r="I131" s="27"/>
      <c r="J131" s="5"/>
      <c r="K131" s="5"/>
      <c r="L131" s="5"/>
      <c r="M131" s="5"/>
      <c r="N131" s="5"/>
      <c r="O131" s="5"/>
    </row>
    <row r="132" spans="9:15" x14ac:dyDescent="0.3">
      <c r="I132" s="27"/>
      <c r="J132" s="5"/>
      <c r="K132" s="5"/>
      <c r="L132" s="5"/>
      <c r="M132" s="5"/>
      <c r="N132" s="5"/>
      <c r="O132" s="5"/>
    </row>
    <row r="133" spans="9:15" x14ac:dyDescent="0.3">
      <c r="I133" s="27"/>
      <c r="J133" s="5"/>
      <c r="K133" s="5"/>
      <c r="L133" s="5"/>
      <c r="M133" s="5"/>
      <c r="N133" s="5"/>
      <c r="O133" s="5"/>
    </row>
    <row r="134" spans="9:15" x14ac:dyDescent="0.3">
      <c r="I134" s="27"/>
      <c r="J134" s="5"/>
      <c r="K134" s="5"/>
      <c r="L134" s="5"/>
      <c r="M134" s="5"/>
      <c r="N134" s="5"/>
      <c r="O134" s="5"/>
    </row>
    <row r="135" spans="9:15" x14ac:dyDescent="0.3">
      <c r="I135" s="27"/>
      <c r="J135" s="5"/>
      <c r="K135" s="5"/>
      <c r="L135" s="5"/>
      <c r="M135" s="5"/>
      <c r="N135" s="5"/>
      <c r="O135" s="5"/>
    </row>
    <row r="136" spans="9:15" x14ac:dyDescent="0.3">
      <c r="I136" s="27"/>
      <c r="J136" s="5"/>
      <c r="K136" s="5"/>
      <c r="L136" s="5"/>
      <c r="M136" s="5"/>
      <c r="N136" s="5"/>
      <c r="O136" s="5"/>
    </row>
    <row r="137" spans="9:15" x14ac:dyDescent="0.3">
      <c r="I137" s="27"/>
      <c r="J137" s="5"/>
      <c r="K137" s="5"/>
      <c r="L137" s="5"/>
      <c r="M137" s="5"/>
      <c r="N137" s="5"/>
      <c r="O137" s="5"/>
    </row>
    <row r="138" spans="9:15" x14ac:dyDescent="0.3">
      <c r="I138" s="27"/>
      <c r="J138" s="5"/>
      <c r="K138" s="5"/>
      <c r="L138" s="5"/>
      <c r="M138" s="5"/>
      <c r="N138" s="5"/>
      <c r="O138" s="5"/>
    </row>
    <row r="139" spans="9:15" x14ac:dyDescent="0.3">
      <c r="I139" s="27"/>
      <c r="J139" s="5"/>
      <c r="K139" s="5"/>
      <c r="L139" s="5"/>
      <c r="M139" s="5"/>
      <c r="N139" s="5"/>
      <c r="O139" s="5"/>
    </row>
    <row r="140" spans="9:15" x14ac:dyDescent="0.3">
      <c r="I140" s="27"/>
      <c r="J140" s="5"/>
      <c r="K140" s="5"/>
      <c r="L140" s="5"/>
      <c r="M140" s="5"/>
      <c r="N140" s="5"/>
      <c r="O140" s="5"/>
    </row>
    <row r="141" spans="9:15" x14ac:dyDescent="0.3">
      <c r="I141" s="27"/>
      <c r="J141" s="5"/>
      <c r="K141" s="5"/>
      <c r="L141" s="5"/>
      <c r="M141" s="5"/>
      <c r="N141" s="5"/>
      <c r="O141" s="5"/>
    </row>
    <row r="142" spans="9:15" x14ac:dyDescent="0.3">
      <c r="I142" s="27"/>
      <c r="J142" s="5"/>
      <c r="K142" s="5"/>
      <c r="L142" s="5"/>
      <c r="M142" s="5"/>
      <c r="N142" s="5"/>
      <c r="O142" s="5"/>
    </row>
    <row r="143" spans="9:15" x14ac:dyDescent="0.3">
      <c r="I143" s="27"/>
      <c r="J143" s="5"/>
      <c r="K143" s="5"/>
      <c r="L143" s="5"/>
      <c r="M143" s="5"/>
      <c r="N143" s="5"/>
      <c r="O143" s="5"/>
    </row>
    <row r="144" spans="9:15" x14ac:dyDescent="0.3">
      <c r="I144" s="27"/>
      <c r="J144" s="5"/>
      <c r="K144" s="5"/>
      <c r="L144" s="5"/>
      <c r="M144" s="5"/>
      <c r="N144" s="5"/>
      <c r="O144" s="5"/>
    </row>
    <row r="145" spans="9:15" x14ac:dyDescent="0.3">
      <c r="I145" s="27"/>
      <c r="J145" s="5"/>
      <c r="K145" s="5"/>
      <c r="L145" s="5"/>
      <c r="M145" s="5"/>
      <c r="N145" s="5"/>
      <c r="O145" s="5"/>
    </row>
    <row r="146" spans="9:15" x14ac:dyDescent="0.3">
      <c r="I146" s="27"/>
      <c r="J146" s="5"/>
      <c r="K146" s="5"/>
      <c r="L146" s="5"/>
      <c r="M146" s="5"/>
      <c r="N146" s="5"/>
      <c r="O146" s="5"/>
    </row>
    <row r="147" spans="9:15" x14ac:dyDescent="0.3">
      <c r="I147" s="27"/>
      <c r="J147" s="5"/>
      <c r="K147" s="5"/>
      <c r="L147" s="5"/>
      <c r="M147" s="5"/>
      <c r="N147" s="5"/>
      <c r="O147" s="5"/>
    </row>
    <row r="148" spans="9:15" x14ac:dyDescent="0.3">
      <c r="I148" s="27"/>
      <c r="J148" s="5"/>
      <c r="K148" s="5"/>
      <c r="L148" s="5"/>
      <c r="M148" s="5"/>
      <c r="N148" s="5"/>
      <c r="O148" s="5"/>
    </row>
    <row r="149" spans="9:15" x14ac:dyDescent="0.3">
      <c r="I149" s="27"/>
      <c r="J149" s="5"/>
      <c r="K149" s="5"/>
      <c r="L149" s="5"/>
      <c r="M149" s="5"/>
      <c r="N149" s="5"/>
      <c r="O149" s="5"/>
    </row>
    <row r="150" spans="9:15" x14ac:dyDescent="0.3">
      <c r="I150" s="27"/>
      <c r="J150" s="5"/>
      <c r="K150" s="5"/>
      <c r="L150" s="5"/>
      <c r="M150" s="5"/>
      <c r="N150" s="5"/>
      <c r="O150" s="5"/>
    </row>
    <row r="151" spans="9:15" x14ac:dyDescent="0.3">
      <c r="I151" s="27"/>
      <c r="J151" s="5"/>
      <c r="K151" s="5"/>
      <c r="L151" s="5"/>
      <c r="M151" s="5"/>
      <c r="N151" s="5"/>
      <c r="O151" s="5"/>
    </row>
    <row r="152" spans="9:15" x14ac:dyDescent="0.3">
      <c r="I152" s="27"/>
      <c r="J152" s="5"/>
      <c r="K152" s="5"/>
      <c r="L152" s="5"/>
      <c r="M152" s="5"/>
      <c r="N152" s="5"/>
      <c r="O152" s="5"/>
    </row>
    <row r="153" spans="9:15" x14ac:dyDescent="0.3">
      <c r="I153" s="27"/>
      <c r="J153" s="5"/>
      <c r="K153" s="5"/>
      <c r="L153" s="5"/>
      <c r="M153" s="5"/>
      <c r="N153" s="5"/>
      <c r="O153" s="5"/>
    </row>
    <row r="154" spans="9:15" x14ac:dyDescent="0.3">
      <c r="I154" s="27"/>
      <c r="J154" s="5"/>
      <c r="K154" s="5"/>
      <c r="L154" s="5"/>
      <c r="M154" s="5"/>
      <c r="N154" s="5"/>
      <c r="O154" s="5"/>
    </row>
    <row r="155" spans="9:15" x14ac:dyDescent="0.3">
      <c r="I155" s="27"/>
      <c r="J155" s="5"/>
      <c r="K155" s="5"/>
      <c r="L155" s="5"/>
      <c r="M155" s="5"/>
      <c r="N155" s="5"/>
      <c r="O155" s="5"/>
    </row>
    <row r="156" spans="9:15" x14ac:dyDescent="0.3">
      <c r="I156" s="27"/>
      <c r="J156" s="5"/>
      <c r="K156" s="5"/>
      <c r="L156" s="5"/>
      <c r="M156" s="5"/>
      <c r="N156" s="5"/>
      <c r="O156" s="5"/>
    </row>
    <row r="157" spans="9:15" x14ac:dyDescent="0.3">
      <c r="I157" s="27"/>
      <c r="J157" s="5"/>
      <c r="K157" s="5"/>
      <c r="L157" s="5"/>
      <c r="M157" s="5"/>
      <c r="N157" s="5"/>
      <c r="O157" s="5"/>
    </row>
    <row r="158" spans="9:15" x14ac:dyDescent="0.3">
      <c r="I158" s="27"/>
      <c r="J158" s="5"/>
      <c r="K158" s="5"/>
      <c r="L158" s="5"/>
      <c r="M158" s="5"/>
      <c r="N158" s="5"/>
      <c r="O158" s="5"/>
    </row>
    <row r="159" spans="9:15" x14ac:dyDescent="0.3">
      <c r="I159" s="27"/>
      <c r="J159" s="5"/>
      <c r="K159" s="5"/>
      <c r="L159" s="5"/>
      <c r="M159" s="5"/>
      <c r="N159" s="5"/>
      <c r="O159" s="5"/>
    </row>
    <row r="160" spans="9:15" x14ac:dyDescent="0.3">
      <c r="I160" s="27"/>
      <c r="J160" s="5"/>
      <c r="K160" s="5"/>
      <c r="L160" s="5"/>
      <c r="M160" s="5"/>
      <c r="N160" s="5"/>
      <c r="O160" s="5"/>
    </row>
    <row r="161" spans="9:15" x14ac:dyDescent="0.3">
      <c r="I161" s="27"/>
      <c r="J161" s="5"/>
      <c r="K161" s="5"/>
      <c r="L161" s="5"/>
      <c r="M161" s="5"/>
      <c r="N161" s="5"/>
      <c r="O161" s="5"/>
    </row>
    <row r="162" spans="9:15" x14ac:dyDescent="0.3">
      <c r="I162" s="27"/>
      <c r="J162" s="5"/>
      <c r="K162" s="5"/>
      <c r="L162" s="5"/>
      <c r="M162" s="5"/>
      <c r="N162" s="5"/>
      <c r="O162" s="5"/>
    </row>
    <row r="163" spans="9:15" x14ac:dyDescent="0.3">
      <c r="I163" s="27"/>
      <c r="J163" s="5"/>
      <c r="K163" s="5"/>
      <c r="L163" s="5"/>
      <c r="M163" s="5"/>
      <c r="N163" s="5"/>
      <c r="O163" s="5"/>
    </row>
    <row r="164" spans="9:15" x14ac:dyDescent="0.3">
      <c r="I164" s="27"/>
      <c r="J164" s="5"/>
      <c r="K164" s="5"/>
      <c r="L164" s="5"/>
      <c r="M164" s="5"/>
      <c r="N164" s="5"/>
      <c r="O164" s="5"/>
    </row>
    <row r="165" spans="9:15" x14ac:dyDescent="0.3">
      <c r="I165" s="27"/>
      <c r="J165" s="5"/>
      <c r="K165" s="5"/>
      <c r="L165" s="5"/>
      <c r="M165" s="5"/>
      <c r="N165" s="5"/>
      <c r="O165" s="5"/>
    </row>
    <row r="166" spans="9:15" x14ac:dyDescent="0.3">
      <c r="I166" s="27"/>
      <c r="J166" s="5"/>
      <c r="K166" s="5"/>
      <c r="L166" s="5"/>
      <c r="M166" s="5"/>
      <c r="N166" s="5"/>
      <c r="O166" s="5"/>
    </row>
    <row r="167" spans="9:15" x14ac:dyDescent="0.3">
      <c r="I167" s="27"/>
      <c r="J167" s="5"/>
      <c r="K167" s="5"/>
      <c r="L167" s="5"/>
      <c r="M167" s="5"/>
      <c r="N167" s="5"/>
      <c r="O167" s="5"/>
    </row>
    <row r="168" spans="9:15" x14ac:dyDescent="0.3">
      <c r="I168" s="27"/>
      <c r="J168" s="5"/>
      <c r="K168" s="5"/>
      <c r="L168" s="5"/>
      <c r="M168" s="5"/>
      <c r="N168" s="5"/>
      <c r="O168" s="5"/>
    </row>
    <row r="169" spans="9:15" x14ac:dyDescent="0.3">
      <c r="I169" s="27"/>
      <c r="J169" s="5"/>
      <c r="K169" s="5"/>
      <c r="L169" s="5"/>
      <c r="M169" s="5"/>
      <c r="N169" s="5"/>
      <c r="O169" s="5"/>
    </row>
    <row r="170" spans="9:15" x14ac:dyDescent="0.3">
      <c r="I170" s="27"/>
      <c r="J170" s="5"/>
      <c r="K170" s="5"/>
      <c r="L170" s="5"/>
      <c r="M170" s="5"/>
      <c r="N170" s="5"/>
      <c r="O170" s="5"/>
    </row>
    <row r="171" spans="9:15" x14ac:dyDescent="0.3">
      <c r="I171" s="27"/>
      <c r="J171" s="5"/>
      <c r="K171" s="5"/>
      <c r="L171" s="5"/>
      <c r="M171" s="5"/>
      <c r="N171" s="5"/>
      <c r="O171" s="5"/>
    </row>
    <row r="172" spans="9:15" x14ac:dyDescent="0.3">
      <c r="I172" s="27"/>
      <c r="J172" s="5"/>
      <c r="K172" s="5"/>
      <c r="L172" s="5"/>
      <c r="M172" s="5"/>
      <c r="N172" s="5"/>
      <c r="O172" s="5"/>
    </row>
    <row r="173" spans="9:15" x14ac:dyDescent="0.3">
      <c r="I173" s="27"/>
      <c r="J173" s="5"/>
      <c r="K173" s="5"/>
      <c r="L173" s="5"/>
      <c r="M173" s="5"/>
      <c r="N173" s="5"/>
      <c r="O173" s="5"/>
    </row>
    <row r="174" spans="9:15" x14ac:dyDescent="0.3">
      <c r="I174" s="27"/>
      <c r="J174" s="5"/>
      <c r="K174" s="5"/>
      <c r="L174" s="5"/>
      <c r="M174" s="5"/>
      <c r="N174" s="5"/>
      <c r="O174" s="5"/>
    </row>
    <row r="175" spans="9:15" x14ac:dyDescent="0.3">
      <c r="I175" s="27"/>
      <c r="J175" s="5"/>
      <c r="K175" s="5"/>
      <c r="L175" s="5"/>
      <c r="M175" s="5"/>
      <c r="N175" s="5"/>
      <c r="O175" s="5"/>
    </row>
    <row r="176" spans="9:15" x14ac:dyDescent="0.3">
      <c r="I176" s="27"/>
      <c r="J176" s="5"/>
      <c r="K176" s="5"/>
      <c r="L176" s="5"/>
      <c r="M176" s="5"/>
      <c r="N176" s="5"/>
      <c r="O176" s="5"/>
    </row>
    <row r="177" spans="9:15" x14ac:dyDescent="0.3">
      <c r="I177" s="27"/>
      <c r="J177" s="5"/>
      <c r="K177" s="5"/>
      <c r="L177" s="5"/>
      <c r="M177" s="5"/>
      <c r="N177" s="5"/>
      <c r="O177" s="5"/>
    </row>
    <row r="178" spans="9:15" x14ac:dyDescent="0.3">
      <c r="I178" s="27"/>
      <c r="J178" s="5"/>
      <c r="K178" s="5"/>
      <c r="L178" s="5"/>
      <c r="M178" s="5"/>
      <c r="N178" s="5"/>
      <c r="O178" s="5"/>
    </row>
    <row r="179" spans="9:15" x14ac:dyDescent="0.3">
      <c r="I179" s="27"/>
      <c r="J179" s="5"/>
      <c r="K179" s="5"/>
      <c r="L179" s="5"/>
      <c r="M179" s="5"/>
      <c r="N179" s="5"/>
      <c r="O179" s="5"/>
    </row>
    <row r="180" spans="9:15" x14ac:dyDescent="0.3">
      <c r="I180" s="27"/>
      <c r="J180" s="5"/>
      <c r="K180" s="5"/>
      <c r="L180" s="5"/>
      <c r="M180" s="5"/>
      <c r="N180" s="5"/>
      <c r="O180" s="5"/>
    </row>
    <row r="181" spans="9:15" x14ac:dyDescent="0.3">
      <c r="I181" s="27"/>
      <c r="J181" s="5"/>
      <c r="K181" s="5"/>
      <c r="L181" s="5"/>
      <c r="M181" s="5"/>
      <c r="N181" s="5"/>
      <c r="O181" s="5"/>
    </row>
    <row r="182" spans="9:15" x14ac:dyDescent="0.3">
      <c r="I182" s="27"/>
      <c r="J182" s="5"/>
      <c r="K182" s="5"/>
      <c r="L182" s="5"/>
      <c r="M182" s="5"/>
      <c r="N182" s="5"/>
      <c r="O182" s="5"/>
    </row>
    <row r="183" spans="9:15" x14ac:dyDescent="0.3">
      <c r="I183" s="27"/>
      <c r="J183" s="5"/>
      <c r="K183" s="5"/>
      <c r="L183" s="5"/>
      <c r="M183" s="5"/>
      <c r="N183" s="5"/>
      <c r="O183" s="5"/>
    </row>
    <row r="184" spans="9:15" x14ac:dyDescent="0.3">
      <c r="I184" s="27"/>
      <c r="J184" s="5"/>
      <c r="K184" s="5"/>
      <c r="L184" s="5"/>
      <c r="M184" s="5"/>
      <c r="N184" s="5"/>
      <c r="O184" s="5"/>
    </row>
    <row r="185" spans="9:15" x14ac:dyDescent="0.3">
      <c r="I185" s="27"/>
      <c r="J185" s="5"/>
      <c r="K185" s="5"/>
      <c r="L185" s="5"/>
      <c r="M185" s="5"/>
      <c r="N185" s="5"/>
      <c r="O185" s="5"/>
    </row>
    <row r="186" spans="9:15" x14ac:dyDescent="0.3">
      <c r="I186" s="27"/>
      <c r="J186" s="5"/>
      <c r="K186" s="5"/>
      <c r="L186" s="5"/>
      <c r="M186" s="5"/>
      <c r="N186" s="5"/>
      <c r="O186" s="5"/>
    </row>
    <row r="187" spans="9:15" x14ac:dyDescent="0.3">
      <c r="I187" s="27"/>
      <c r="J187" s="5"/>
      <c r="K187" s="5"/>
      <c r="L187" s="5"/>
      <c r="M187" s="5"/>
      <c r="N187" s="5"/>
      <c r="O187" s="5"/>
    </row>
    <row r="188" spans="9:15" x14ac:dyDescent="0.3">
      <c r="I188" s="27"/>
      <c r="J188" s="5"/>
      <c r="K188" s="5"/>
      <c r="L188" s="5"/>
      <c r="M188" s="5"/>
      <c r="N188" s="5"/>
      <c r="O188" s="5"/>
    </row>
    <row r="189" spans="9:15" x14ac:dyDescent="0.3">
      <c r="I189" s="27"/>
      <c r="J189" s="5"/>
      <c r="K189" s="5"/>
      <c r="L189" s="5"/>
      <c r="M189" s="5"/>
      <c r="N189" s="5"/>
      <c r="O189" s="5"/>
    </row>
    <row r="190" spans="9:15" x14ac:dyDescent="0.3">
      <c r="I190" s="27"/>
      <c r="J190" s="5"/>
      <c r="K190" s="5"/>
      <c r="L190" s="5"/>
      <c r="M190" s="5"/>
      <c r="N190" s="5"/>
      <c r="O190" s="5"/>
    </row>
    <row r="191" spans="9:15" x14ac:dyDescent="0.3">
      <c r="I191" s="27"/>
      <c r="J191" s="5"/>
      <c r="K191" s="5"/>
      <c r="L191" s="5"/>
      <c r="M191" s="5"/>
      <c r="N191" s="5"/>
      <c r="O191" s="5"/>
    </row>
    <row r="192" spans="9:15" x14ac:dyDescent="0.3">
      <c r="I192" s="27"/>
      <c r="J192" s="5"/>
      <c r="K192" s="5"/>
      <c r="L192" s="5"/>
      <c r="M192" s="5"/>
      <c r="N192" s="5"/>
      <c r="O192" s="5"/>
    </row>
    <row r="193" spans="9:15" x14ac:dyDescent="0.3">
      <c r="I193" s="27"/>
      <c r="J193" s="5"/>
      <c r="K193" s="5"/>
      <c r="L193" s="5"/>
      <c r="M193" s="5"/>
      <c r="N193" s="5"/>
      <c r="O193" s="5"/>
    </row>
    <row r="194" spans="9:15" x14ac:dyDescent="0.3">
      <c r="I194" s="27"/>
      <c r="J194" s="5"/>
      <c r="K194" s="5"/>
      <c r="L194" s="5"/>
      <c r="M194" s="5"/>
      <c r="N194" s="5"/>
      <c r="O194" s="5"/>
    </row>
    <row r="195" spans="9:15" x14ac:dyDescent="0.3">
      <c r="I195" s="27"/>
      <c r="J195" s="5"/>
      <c r="K195" s="5"/>
      <c r="L195" s="5"/>
      <c r="M195" s="5"/>
      <c r="N195" s="5"/>
      <c r="O195" s="5"/>
    </row>
    <row r="196" spans="9:15" x14ac:dyDescent="0.3">
      <c r="I196" s="27"/>
      <c r="J196" s="5"/>
      <c r="K196" s="5"/>
      <c r="L196" s="5"/>
      <c r="M196" s="5"/>
      <c r="N196" s="5"/>
      <c r="O196" s="5"/>
    </row>
    <row r="197" spans="9:15" x14ac:dyDescent="0.3">
      <c r="I197" s="27"/>
      <c r="J197" s="5"/>
      <c r="K197" s="5"/>
      <c r="L197" s="5"/>
      <c r="M197" s="5"/>
      <c r="N197" s="5"/>
      <c r="O197" s="5"/>
    </row>
    <row r="198" spans="9:15" x14ac:dyDescent="0.3">
      <c r="I198" s="27"/>
      <c r="J198" s="5"/>
      <c r="K198" s="5"/>
      <c r="L198" s="5"/>
      <c r="M198" s="5"/>
      <c r="N198" s="5"/>
      <c r="O198" s="5"/>
    </row>
    <row r="199" spans="9:15" x14ac:dyDescent="0.3">
      <c r="I199" s="27"/>
      <c r="J199" s="5"/>
      <c r="K199" s="5"/>
      <c r="L199" s="5"/>
      <c r="M199" s="5"/>
      <c r="N199" s="5"/>
      <c r="O199" s="5"/>
    </row>
    <row r="200" spans="9:15" x14ac:dyDescent="0.3">
      <c r="I200" s="27"/>
      <c r="J200" s="5"/>
      <c r="K200" s="5"/>
      <c r="L200" s="5"/>
      <c r="M200" s="5"/>
      <c r="N200" s="5"/>
      <c r="O200" s="5"/>
    </row>
    <row r="201" spans="9:15" x14ac:dyDescent="0.3">
      <c r="I201" s="27"/>
      <c r="J201" s="5"/>
      <c r="K201" s="5"/>
      <c r="L201" s="5"/>
      <c r="M201" s="5"/>
      <c r="N201" s="5"/>
      <c r="O2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Used -1</vt:lpstr>
      <vt:lpstr>Data Used- 2</vt:lpstr>
      <vt:lpstr>Data Used - 3</vt:lpstr>
      <vt:lpstr>Task 5.1.1</vt:lpstr>
      <vt:lpstr>Task - Upliftment</vt:lpstr>
      <vt:lpstr>Task - ROI</vt:lpstr>
      <vt:lpstr>Followers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Inamdar</dc:creator>
  <cp:lastModifiedBy>Ved Inamdar</cp:lastModifiedBy>
  <dcterms:created xsi:type="dcterms:W3CDTF">2025-08-18T09:00:29Z</dcterms:created>
  <dcterms:modified xsi:type="dcterms:W3CDTF">2025-08-18T14:15:45Z</dcterms:modified>
</cp:coreProperties>
</file>