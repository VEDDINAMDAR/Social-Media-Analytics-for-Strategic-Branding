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Intershala\Project\SM analysis\"/>
    </mc:Choice>
  </mc:AlternateContent>
  <xr:revisionPtr revIDLastSave="0" documentId="13_ncr:1_{D9FDCE10-AF73-4225-A324-26C58F39D194}" xr6:coauthVersionLast="47" xr6:coauthVersionMax="47" xr10:uidLastSave="{00000000-0000-0000-0000-000000000000}"/>
  <bookViews>
    <workbookView xWindow="-108" yWindow="-108" windowWidth="23256" windowHeight="13176" xr2:uid="{B5E7224A-39E6-47D7-86A7-68E95770BDAC}"/>
  </bookViews>
  <sheets>
    <sheet name="Data Used - 1" sheetId="1" r:id="rId1"/>
    <sheet name="Performance for Hashtags" sheetId="2" r:id="rId2"/>
    <sheet name="Comparision Performance Content" sheetId="5" r:id="rId3"/>
    <sheet name="Conetnt Performance" sheetId="3" r:id="rId4"/>
  </sheets>
  <definedNames>
    <definedName name="_xlnm._FilterDatabase" localSheetId="0" hidden="1">'Data Used - 1'!$M$1:$M$301</definedName>
  </definedNames>
  <calcPr calcId="191029"/>
  <pivotCaches>
    <pivotCache cacheId="6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2" i="2"/>
  <c r="D240" i="3"/>
  <c r="D296" i="3"/>
  <c r="D96" i="3"/>
  <c r="D270" i="3"/>
  <c r="D68" i="3"/>
  <c r="D254" i="3"/>
  <c r="D168" i="3"/>
  <c r="D200" i="3"/>
  <c r="D253" i="3"/>
  <c r="F253" i="3" s="1"/>
  <c r="D146" i="3"/>
  <c r="D120" i="3"/>
  <c r="D227" i="3"/>
  <c r="D99" i="3"/>
  <c r="D294" i="3"/>
  <c r="D243" i="3"/>
  <c r="D184" i="3"/>
  <c r="D170" i="3"/>
  <c r="D161" i="3"/>
  <c r="D284" i="3"/>
  <c r="D236" i="3"/>
  <c r="D215" i="3"/>
  <c r="D223" i="3"/>
  <c r="D252" i="3"/>
  <c r="D286" i="3"/>
  <c r="D188" i="3"/>
  <c r="F188" i="3" s="1"/>
  <c r="D259" i="3"/>
  <c r="D72" i="3"/>
  <c r="D43" i="3"/>
  <c r="D297" i="3"/>
  <c r="D14" i="3"/>
  <c r="D54" i="3"/>
  <c r="D124" i="3"/>
  <c r="D239" i="3"/>
  <c r="D139" i="3"/>
  <c r="D244" i="3"/>
  <c r="D77" i="3"/>
  <c r="D135" i="3"/>
  <c r="D256" i="3"/>
  <c r="D102" i="3"/>
  <c r="D55" i="3"/>
  <c r="D41" i="3"/>
  <c r="F41" i="3" s="1"/>
  <c r="D44" i="3"/>
  <c r="D166" i="3"/>
  <c r="D235" i="3"/>
  <c r="D76" i="3"/>
  <c r="D80" i="3"/>
  <c r="D246" i="3"/>
  <c r="D155" i="3"/>
  <c r="D117" i="3"/>
  <c r="D220" i="3"/>
  <c r="D93" i="3"/>
  <c r="D15" i="3"/>
  <c r="D86" i="3"/>
  <c r="D175" i="3"/>
  <c r="D129" i="3"/>
  <c r="D221" i="3"/>
  <c r="D4" i="3"/>
  <c r="F4" i="3" s="1"/>
  <c r="D181" i="3"/>
  <c r="D83" i="3"/>
  <c r="D107" i="3"/>
  <c r="D2" i="3"/>
  <c r="D301" i="3"/>
  <c r="D225" i="3"/>
  <c r="D125" i="3"/>
  <c r="D16" i="3"/>
  <c r="D281" i="3"/>
  <c r="D64" i="3"/>
  <c r="D179" i="3"/>
  <c r="D13" i="3"/>
  <c r="D137" i="3"/>
  <c r="D164" i="3"/>
  <c r="D279" i="3"/>
  <c r="D115" i="3"/>
  <c r="F115" i="3" s="1"/>
  <c r="D127" i="3"/>
  <c r="D211" i="3"/>
  <c r="D57" i="3"/>
  <c r="D226" i="3"/>
  <c r="D187" i="3"/>
  <c r="D238" i="3"/>
  <c r="D158" i="3"/>
  <c r="D177" i="3"/>
  <c r="D82" i="3"/>
  <c r="D191" i="3"/>
  <c r="D63" i="3"/>
  <c r="D268" i="3"/>
  <c r="D47" i="3"/>
  <c r="D116" i="3"/>
  <c r="D74" i="3"/>
  <c r="D249" i="3"/>
  <c r="F249" i="3" s="1"/>
  <c r="D217" i="3"/>
  <c r="D113" i="3"/>
  <c r="D27" i="3"/>
  <c r="D84" i="3"/>
  <c r="D267" i="3"/>
  <c r="D157" i="3"/>
  <c r="D209" i="3"/>
  <c r="D153" i="3"/>
  <c r="D251" i="3"/>
  <c r="D190" i="3"/>
  <c r="D255" i="3"/>
  <c r="D12" i="3"/>
  <c r="D165" i="3"/>
  <c r="D112" i="3"/>
  <c r="D121" i="3"/>
  <c r="D202" i="3"/>
  <c r="F202" i="3" s="1"/>
  <c r="D283" i="3"/>
  <c r="D169" i="3"/>
  <c r="D79" i="3"/>
  <c r="D132" i="3"/>
  <c r="D250" i="3"/>
  <c r="D67" i="3"/>
  <c r="D151" i="3"/>
  <c r="D130" i="3"/>
  <c r="D273" i="3"/>
  <c r="D81" i="3"/>
  <c r="D136" i="3"/>
  <c r="D228" i="3"/>
  <c r="D21" i="3"/>
  <c r="D38" i="3"/>
  <c r="D18" i="3"/>
  <c r="D216" i="3"/>
  <c r="F216" i="3" s="1"/>
  <c r="D40" i="3"/>
  <c r="D19" i="3"/>
  <c r="D101" i="3"/>
  <c r="D172" i="3"/>
  <c r="D264" i="3"/>
  <c r="D133" i="3"/>
  <c r="D71" i="3"/>
  <c r="D201" i="3"/>
  <c r="D128" i="3"/>
  <c r="D110" i="3"/>
  <c r="D262" i="3"/>
  <c r="D260" i="3"/>
  <c r="D272" i="3"/>
  <c r="D59" i="3"/>
  <c r="D45" i="3"/>
  <c r="D48" i="3"/>
  <c r="F48" i="3" s="1"/>
  <c r="D180" i="3"/>
  <c r="D98" i="3"/>
  <c r="D39" i="3"/>
  <c r="D263" i="3"/>
  <c r="D8" i="3"/>
  <c r="D276" i="3"/>
  <c r="D293" i="3"/>
  <c r="D46" i="3"/>
  <c r="D94" i="3"/>
  <c r="D62" i="3"/>
  <c r="D233" i="3"/>
  <c r="D274" i="3"/>
  <c r="D152" i="3"/>
  <c r="D65" i="3"/>
  <c r="D56" i="3"/>
  <c r="D22" i="3"/>
  <c r="D144" i="3"/>
  <c r="D148" i="3"/>
  <c r="D156" i="3"/>
  <c r="D149" i="3"/>
  <c r="D50" i="3"/>
  <c r="D195" i="3"/>
  <c r="D145" i="3"/>
  <c r="D206" i="3"/>
  <c r="D42" i="3"/>
  <c r="D97" i="3"/>
  <c r="D87" i="3"/>
  <c r="D100" i="3"/>
  <c r="D173" i="3"/>
  <c r="D237" i="3"/>
  <c r="D138" i="3"/>
  <c r="D269" i="3"/>
  <c r="F269" i="3" s="1"/>
  <c r="D178" i="3"/>
  <c r="D242" i="3"/>
  <c r="D95" i="3"/>
  <c r="D106" i="3"/>
  <c r="D9" i="3"/>
  <c r="D300" i="3"/>
  <c r="D194" i="3"/>
  <c r="D6" i="3"/>
  <c r="D230" i="3"/>
  <c r="D199" i="3"/>
  <c r="D31" i="3"/>
  <c r="D167" i="3"/>
  <c r="D20" i="3"/>
  <c r="D108" i="3"/>
  <c r="D185" i="3"/>
  <c r="D203" i="3"/>
  <c r="F203" i="3" s="1"/>
  <c r="D189" i="3"/>
  <c r="D208" i="3"/>
  <c r="D248" i="3"/>
  <c r="D295" i="3"/>
  <c r="D176" i="3"/>
  <c r="D88" i="3"/>
  <c r="D171" i="3"/>
  <c r="D213" i="3"/>
  <c r="D91" i="3"/>
  <c r="D131" i="3"/>
  <c r="D280" i="3"/>
  <c r="D52" i="3"/>
  <c r="D193" i="3"/>
  <c r="D277" i="3"/>
  <c r="D192" i="3"/>
  <c r="D196" i="3"/>
  <c r="F196" i="3" s="1"/>
  <c r="D291" i="3"/>
  <c r="D23" i="3"/>
  <c r="D160" i="3"/>
  <c r="D150" i="3"/>
  <c r="D104" i="3"/>
  <c r="D204" i="3"/>
  <c r="D224" i="3"/>
  <c r="D10" i="3"/>
  <c r="D69" i="3"/>
  <c r="D134" i="3"/>
  <c r="D212" i="3"/>
  <c r="D11" i="3"/>
  <c r="D257" i="3"/>
  <c r="D290" i="3"/>
  <c r="D287" i="3"/>
  <c r="D60" i="3"/>
  <c r="F60" i="3" s="1"/>
  <c r="D26" i="3"/>
  <c r="D3" i="3"/>
  <c r="D92" i="3"/>
  <c r="D154" i="3"/>
  <c r="D275" i="3"/>
  <c r="D17" i="3"/>
  <c r="D299" i="3"/>
  <c r="D30" i="3"/>
  <c r="D89" i="3"/>
  <c r="D222" i="3"/>
  <c r="D122" i="3"/>
  <c r="D234" i="3"/>
  <c r="D182" i="3"/>
  <c r="D7" i="3"/>
  <c r="D232" i="3"/>
  <c r="D241" i="3"/>
  <c r="F241" i="3" s="1"/>
  <c r="D123" i="3"/>
  <c r="D105" i="3"/>
  <c r="D271" i="3"/>
  <c r="D258" i="3"/>
  <c r="D36" i="3"/>
  <c r="D186" i="3"/>
  <c r="D73" i="3"/>
  <c r="D66" i="3"/>
  <c r="D183" i="3"/>
  <c r="D33" i="3"/>
  <c r="D140" i="3"/>
  <c r="D32" i="3"/>
  <c r="D143" i="3"/>
  <c r="D24" i="3"/>
  <c r="D162" i="3"/>
  <c r="D245" i="3"/>
  <c r="F245" i="3" s="1"/>
  <c r="D142" i="3"/>
  <c r="D90" i="3"/>
  <c r="D198" i="3"/>
  <c r="D109" i="3"/>
  <c r="D141" i="3"/>
  <c r="D285" i="3"/>
  <c r="D229" i="3"/>
  <c r="D58" i="3"/>
  <c r="D28" i="3"/>
  <c r="D210" i="3"/>
  <c r="D218" i="3"/>
  <c r="D78" i="3"/>
  <c r="D29" i="3"/>
  <c r="D5" i="3"/>
  <c r="D35" i="3"/>
  <c r="D174" i="3"/>
  <c r="F174" i="3" s="1"/>
  <c r="D282" i="3"/>
  <c r="D207" i="3"/>
  <c r="D49" i="3"/>
  <c r="D265" i="3"/>
  <c r="D53" i="3"/>
  <c r="D103" i="3"/>
  <c r="D163" i="3"/>
  <c r="D231" i="3"/>
  <c r="D85" i="3"/>
  <c r="D51" i="3"/>
  <c r="D34" i="3"/>
  <c r="D147" i="3"/>
  <c r="D289" i="3"/>
  <c r="D219" i="3"/>
  <c r="D278" i="3"/>
  <c r="D159" i="3"/>
  <c r="F159" i="3" s="1"/>
  <c r="D292" i="3"/>
  <c r="D119" i="3"/>
  <c r="D118" i="3"/>
  <c r="D61" i="3"/>
  <c r="D25" i="3"/>
  <c r="D266" i="3"/>
  <c r="D247" i="3"/>
  <c r="D205" i="3"/>
  <c r="D261" i="3"/>
  <c r="D111" i="3"/>
  <c r="D126" i="3"/>
  <c r="D70" i="3"/>
  <c r="D75" i="3"/>
  <c r="D288" i="3"/>
  <c r="D37" i="3"/>
  <c r="D298" i="3"/>
  <c r="F298" i="3" s="1"/>
  <c r="D114" i="3"/>
  <c r="D214" i="3"/>
  <c r="D197" i="3"/>
  <c r="E240" i="3"/>
  <c r="E296" i="3"/>
  <c r="F296" i="3" s="1"/>
  <c r="E96" i="3"/>
  <c r="F96" i="3" s="1"/>
  <c r="E270" i="3"/>
  <c r="F270" i="3" s="1"/>
  <c r="E68" i="3"/>
  <c r="F68" i="3" s="1"/>
  <c r="E254" i="3"/>
  <c r="E168" i="3"/>
  <c r="E200" i="3"/>
  <c r="F200" i="3" s="1"/>
  <c r="E253" i="3"/>
  <c r="E146" i="3"/>
  <c r="E120" i="3"/>
  <c r="E227" i="3"/>
  <c r="E99" i="3"/>
  <c r="E294" i="3"/>
  <c r="E243" i="3"/>
  <c r="E184" i="3"/>
  <c r="E170" i="3"/>
  <c r="E161" i="3"/>
  <c r="F161" i="3" s="1"/>
  <c r="E284" i="3"/>
  <c r="E236" i="3"/>
  <c r="F236" i="3" s="1"/>
  <c r="E215" i="3"/>
  <c r="F215" i="3" s="1"/>
  <c r="E223" i="3"/>
  <c r="F223" i="3" s="1"/>
  <c r="E252" i="3"/>
  <c r="E286" i="3"/>
  <c r="E188" i="3"/>
  <c r="E259" i="3"/>
  <c r="F259" i="3" s="1"/>
  <c r="E72" i="3"/>
  <c r="E43" i="3"/>
  <c r="E297" i="3"/>
  <c r="E14" i="3"/>
  <c r="E54" i="3"/>
  <c r="E124" i="3"/>
  <c r="E239" i="3"/>
  <c r="E139" i="3"/>
  <c r="F139" i="3" s="1"/>
  <c r="E244" i="3"/>
  <c r="F244" i="3" s="1"/>
  <c r="E77" i="3"/>
  <c r="F77" i="3" s="1"/>
  <c r="E135" i="3"/>
  <c r="F135" i="3" s="1"/>
  <c r="E256" i="3"/>
  <c r="F256" i="3" s="1"/>
  <c r="E102" i="3"/>
  <c r="E55" i="3"/>
  <c r="F55" i="3" s="1"/>
  <c r="E41" i="3"/>
  <c r="E44" i="3"/>
  <c r="E166" i="3"/>
  <c r="E235" i="3"/>
  <c r="E76" i="3"/>
  <c r="E80" i="3"/>
  <c r="E246" i="3"/>
  <c r="E155" i="3"/>
  <c r="E117" i="3"/>
  <c r="E220" i="3"/>
  <c r="F220" i="3" s="1"/>
  <c r="E93" i="3"/>
  <c r="F93" i="3" s="1"/>
  <c r="E15" i="3"/>
  <c r="F15" i="3" s="1"/>
  <c r="E86" i="3"/>
  <c r="F86" i="3" s="1"/>
  <c r="E175" i="3"/>
  <c r="F175" i="3" s="1"/>
  <c r="E129" i="3"/>
  <c r="F129" i="3" s="1"/>
  <c r="E221" i="3"/>
  <c r="F221" i="3" s="1"/>
  <c r="E4" i="3"/>
  <c r="E181" i="3"/>
  <c r="E83" i="3"/>
  <c r="E107" i="3"/>
  <c r="E2" i="3"/>
  <c r="E301" i="3"/>
  <c r="E225" i="3"/>
  <c r="E125" i="3"/>
  <c r="E16" i="3"/>
  <c r="E281" i="3"/>
  <c r="F281" i="3" s="1"/>
  <c r="E64" i="3"/>
  <c r="F64" i="3" s="1"/>
  <c r="E179" i="3"/>
  <c r="F179" i="3" s="1"/>
  <c r="E13" i="3"/>
  <c r="F13" i="3" s="1"/>
  <c r="E137" i="3"/>
  <c r="F137" i="3" s="1"/>
  <c r="E164" i="3"/>
  <c r="E279" i="3"/>
  <c r="E115" i="3"/>
  <c r="E127" i="3"/>
  <c r="F127" i="3" s="1"/>
  <c r="E211" i="3"/>
  <c r="E57" i="3"/>
  <c r="E226" i="3"/>
  <c r="E187" i="3"/>
  <c r="E238" i="3"/>
  <c r="E158" i="3"/>
  <c r="E177" i="3"/>
  <c r="E82" i="3"/>
  <c r="E191" i="3"/>
  <c r="F191" i="3" s="1"/>
  <c r="E63" i="3"/>
  <c r="F63" i="3" s="1"/>
  <c r="E268" i="3"/>
  <c r="F268" i="3" s="1"/>
  <c r="E47" i="3"/>
  <c r="F47" i="3" s="1"/>
  <c r="E116" i="3"/>
  <c r="E74" i="3"/>
  <c r="F74" i="3" s="1"/>
  <c r="E249" i="3"/>
  <c r="E217" i="3"/>
  <c r="E113" i="3"/>
  <c r="E27" i="3"/>
  <c r="E84" i="3"/>
  <c r="E267" i="3"/>
  <c r="E157" i="3"/>
  <c r="E209" i="3"/>
  <c r="E153" i="3"/>
  <c r="E251" i="3"/>
  <c r="F251" i="3" s="1"/>
  <c r="E190" i="3"/>
  <c r="F190" i="3" s="1"/>
  <c r="E255" i="3"/>
  <c r="F255" i="3" s="1"/>
  <c r="E12" i="3"/>
  <c r="F12" i="3" s="1"/>
  <c r="E165" i="3"/>
  <c r="F165" i="3" s="1"/>
  <c r="E112" i="3"/>
  <c r="E121" i="3"/>
  <c r="F121" i="3" s="1"/>
  <c r="E202" i="3"/>
  <c r="E283" i="3"/>
  <c r="E169" i="3"/>
  <c r="E79" i="3"/>
  <c r="E132" i="3"/>
  <c r="E250" i="3"/>
  <c r="E67" i="3"/>
  <c r="E151" i="3"/>
  <c r="E130" i="3"/>
  <c r="E273" i="3"/>
  <c r="E81" i="3"/>
  <c r="F81" i="3" s="1"/>
  <c r="E136" i="3"/>
  <c r="F136" i="3" s="1"/>
  <c r="E228" i="3"/>
  <c r="F228" i="3" s="1"/>
  <c r="E21" i="3"/>
  <c r="F21" i="3" s="1"/>
  <c r="E38" i="3"/>
  <c r="E18" i="3"/>
  <c r="F18" i="3" s="1"/>
  <c r="E216" i="3"/>
  <c r="E40" i="3"/>
  <c r="F40" i="3" s="1"/>
  <c r="E19" i="3"/>
  <c r="E101" i="3"/>
  <c r="E172" i="3"/>
  <c r="E264" i="3"/>
  <c r="E133" i="3"/>
  <c r="E71" i="3"/>
  <c r="E201" i="3"/>
  <c r="E128" i="3"/>
  <c r="E110" i="3"/>
  <c r="E262" i="3"/>
  <c r="F262" i="3" s="1"/>
  <c r="E260" i="3"/>
  <c r="F260" i="3" s="1"/>
  <c r="E272" i="3"/>
  <c r="F272" i="3" s="1"/>
  <c r="E59" i="3"/>
  <c r="E45" i="3"/>
  <c r="F45" i="3" s="1"/>
  <c r="E48" i="3"/>
  <c r="E180" i="3"/>
  <c r="E98" i="3"/>
  <c r="E39" i="3"/>
  <c r="E263" i="3"/>
  <c r="E8" i="3"/>
  <c r="E276" i="3"/>
  <c r="E293" i="3"/>
  <c r="E46" i="3"/>
  <c r="E94" i="3"/>
  <c r="E62" i="3"/>
  <c r="F62" i="3" s="1"/>
  <c r="E233" i="3"/>
  <c r="F233" i="3" s="1"/>
  <c r="E274" i="3"/>
  <c r="F274" i="3" s="1"/>
  <c r="E152" i="3"/>
  <c r="F152" i="3" s="1"/>
  <c r="E65" i="3"/>
  <c r="F65" i="3" s="1"/>
  <c r="E56" i="3"/>
  <c r="F56" i="3" s="1"/>
  <c r="E22" i="3"/>
  <c r="E144" i="3"/>
  <c r="E148" i="3"/>
  <c r="E156" i="3"/>
  <c r="E149" i="3"/>
  <c r="E50" i="3"/>
  <c r="E195" i="3"/>
  <c r="E145" i="3"/>
  <c r="E206" i="3"/>
  <c r="E42" i="3"/>
  <c r="E97" i="3"/>
  <c r="F97" i="3" s="1"/>
  <c r="E87" i="3"/>
  <c r="F87" i="3" s="1"/>
  <c r="E100" i="3"/>
  <c r="F100" i="3" s="1"/>
  <c r="E173" i="3"/>
  <c r="F173" i="3" s="1"/>
  <c r="E237" i="3"/>
  <c r="E138" i="3"/>
  <c r="F138" i="3" s="1"/>
  <c r="E269" i="3"/>
  <c r="E178" i="3"/>
  <c r="E242" i="3"/>
  <c r="E95" i="3"/>
  <c r="E106" i="3"/>
  <c r="E9" i="3"/>
  <c r="E300" i="3"/>
  <c r="E194" i="3"/>
  <c r="E6" i="3"/>
  <c r="E230" i="3"/>
  <c r="E199" i="3"/>
  <c r="F199" i="3" s="1"/>
  <c r="E31" i="3"/>
  <c r="F31" i="3" s="1"/>
  <c r="E167" i="3"/>
  <c r="F167" i="3" s="1"/>
  <c r="E20" i="3"/>
  <c r="F20" i="3" s="1"/>
  <c r="E108" i="3"/>
  <c r="F108" i="3" s="1"/>
  <c r="E185" i="3"/>
  <c r="F185" i="3" s="1"/>
  <c r="E203" i="3"/>
  <c r="E189" i="3"/>
  <c r="E208" i="3"/>
  <c r="E248" i="3"/>
  <c r="E295" i="3"/>
  <c r="E176" i="3"/>
  <c r="E88" i="3"/>
  <c r="E171" i="3"/>
  <c r="E213" i="3"/>
  <c r="E91" i="3"/>
  <c r="E131" i="3"/>
  <c r="F131" i="3" s="1"/>
  <c r="E280" i="3"/>
  <c r="F280" i="3" s="1"/>
  <c r="E52" i="3"/>
  <c r="F52" i="3" s="1"/>
  <c r="E193" i="3"/>
  <c r="F193" i="3" s="1"/>
  <c r="E277" i="3"/>
  <c r="F277" i="3" s="1"/>
  <c r="E192" i="3"/>
  <c r="F192" i="3" s="1"/>
  <c r="E196" i="3"/>
  <c r="E291" i="3"/>
  <c r="E23" i="3"/>
  <c r="E160" i="3"/>
  <c r="E150" i="3"/>
  <c r="E104" i="3"/>
  <c r="E204" i="3"/>
  <c r="E224" i="3"/>
  <c r="E10" i="3"/>
  <c r="E69" i="3"/>
  <c r="E134" i="3"/>
  <c r="E212" i="3"/>
  <c r="F212" i="3" s="1"/>
  <c r="E11" i="3"/>
  <c r="F11" i="3" s="1"/>
  <c r="E257" i="3"/>
  <c r="F257" i="3" s="1"/>
  <c r="E290" i="3"/>
  <c r="F290" i="3" s="1"/>
  <c r="E287" i="3"/>
  <c r="F287" i="3" s="1"/>
  <c r="E60" i="3"/>
  <c r="E26" i="3"/>
  <c r="E3" i="3"/>
  <c r="E92" i="3"/>
  <c r="E154" i="3"/>
  <c r="E275" i="3"/>
  <c r="E17" i="3"/>
  <c r="E299" i="3"/>
  <c r="E30" i="3"/>
  <c r="E89" i="3"/>
  <c r="E222" i="3"/>
  <c r="F222" i="3" s="1"/>
  <c r="E122" i="3"/>
  <c r="F122" i="3" s="1"/>
  <c r="E234" i="3"/>
  <c r="F234" i="3" s="1"/>
  <c r="E182" i="3"/>
  <c r="F182" i="3" s="1"/>
  <c r="E7" i="3"/>
  <c r="F7" i="3" s="1"/>
  <c r="E232" i="3"/>
  <c r="F232" i="3" s="1"/>
  <c r="E241" i="3"/>
  <c r="E123" i="3"/>
  <c r="E105" i="3"/>
  <c r="E271" i="3"/>
  <c r="E258" i="3"/>
  <c r="E36" i="3"/>
  <c r="E186" i="3"/>
  <c r="E73" i="3"/>
  <c r="E66" i="3"/>
  <c r="E183" i="3"/>
  <c r="E33" i="3"/>
  <c r="F33" i="3" s="1"/>
  <c r="E140" i="3"/>
  <c r="F140" i="3" s="1"/>
  <c r="E32" i="3"/>
  <c r="F32" i="3" s="1"/>
  <c r="E143" i="3"/>
  <c r="F143" i="3" s="1"/>
  <c r="E24" i="3"/>
  <c r="F24" i="3" s="1"/>
  <c r="E162" i="3"/>
  <c r="F162" i="3" s="1"/>
  <c r="E245" i="3"/>
  <c r="E142" i="3"/>
  <c r="E90" i="3"/>
  <c r="E198" i="3"/>
  <c r="E109" i="3"/>
  <c r="E141" i="3"/>
  <c r="E285" i="3"/>
  <c r="E229" i="3"/>
  <c r="E58" i="3"/>
  <c r="E28" i="3"/>
  <c r="E210" i="3"/>
  <c r="F210" i="3" s="1"/>
  <c r="E218" i="3"/>
  <c r="F218" i="3" s="1"/>
  <c r="E78" i="3"/>
  <c r="F78" i="3" s="1"/>
  <c r="E29" i="3"/>
  <c r="F29" i="3" s="1"/>
  <c r="E5" i="3"/>
  <c r="F5" i="3" s="1"/>
  <c r="E35" i="3"/>
  <c r="F35" i="3" s="1"/>
  <c r="E174" i="3"/>
  <c r="E282" i="3"/>
  <c r="F282" i="3" s="1"/>
  <c r="E207" i="3"/>
  <c r="E49" i="3"/>
  <c r="E265" i="3"/>
  <c r="E53" i="3"/>
  <c r="E103" i="3"/>
  <c r="E163" i="3"/>
  <c r="E231" i="3"/>
  <c r="E85" i="3"/>
  <c r="E51" i="3"/>
  <c r="F51" i="3" s="1"/>
  <c r="E34" i="3"/>
  <c r="F34" i="3" s="1"/>
  <c r="E147" i="3"/>
  <c r="F147" i="3" s="1"/>
  <c r="E289" i="3"/>
  <c r="F289" i="3" s="1"/>
  <c r="E219" i="3"/>
  <c r="F219" i="3" s="1"/>
  <c r="E278" i="3"/>
  <c r="F278" i="3" s="1"/>
  <c r="E159" i="3"/>
  <c r="E292" i="3"/>
  <c r="E119" i="3"/>
  <c r="E118" i="3"/>
  <c r="E61" i="3"/>
  <c r="E25" i="3"/>
  <c r="E266" i="3"/>
  <c r="E247" i="3"/>
  <c r="E205" i="3"/>
  <c r="E261" i="3"/>
  <c r="E111" i="3"/>
  <c r="F111" i="3" s="1"/>
  <c r="E126" i="3"/>
  <c r="F126" i="3" s="1"/>
  <c r="E70" i="3"/>
  <c r="F70" i="3" s="1"/>
  <c r="E75" i="3"/>
  <c r="F75" i="3" s="1"/>
  <c r="E288" i="3"/>
  <c r="F288" i="3" s="1"/>
  <c r="E37" i="3"/>
  <c r="F37" i="3" s="1"/>
  <c r="E298" i="3"/>
  <c r="E114" i="3"/>
  <c r="E214" i="3"/>
  <c r="E197" i="3"/>
  <c r="F254" i="3"/>
  <c r="F168" i="3"/>
  <c r="F284" i="3"/>
  <c r="F286" i="3"/>
  <c r="F102" i="3"/>
  <c r="F164" i="3"/>
  <c r="F279" i="3"/>
  <c r="F116" i="3"/>
  <c r="F112" i="3"/>
  <c r="F38" i="3"/>
  <c r="F110" i="3"/>
  <c r="F59" i="3"/>
  <c r="F237" i="3"/>
  <c r="F291" i="3"/>
  <c r="F134" i="3"/>
  <c r="F85" i="3"/>
  <c r="Q59" i="1"/>
  <c r="Q233" i="1"/>
  <c r="Q179" i="1"/>
  <c r="Q176" i="1"/>
  <c r="Q63" i="1"/>
  <c r="Q265" i="1"/>
  <c r="Q144" i="1"/>
  <c r="Q211" i="1"/>
  <c r="Q71" i="1"/>
  <c r="Q215" i="1"/>
  <c r="Q54" i="1"/>
  <c r="Q103" i="1"/>
  <c r="Q125" i="1"/>
  <c r="Q122" i="1"/>
  <c r="Q225" i="1"/>
  <c r="Q155" i="1"/>
  <c r="Q120" i="1"/>
  <c r="Q288" i="1"/>
  <c r="Q205" i="1"/>
  <c r="Q67" i="1"/>
  <c r="Q184" i="1"/>
  <c r="Q32" i="1"/>
  <c r="Q94" i="1"/>
  <c r="Q264" i="1"/>
  <c r="Q249" i="1"/>
  <c r="Q245" i="1"/>
  <c r="Q260" i="1"/>
  <c r="Q220" i="1"/>
  <c r="Q227" i="1"/>
  <c r="Q266" i="1"/>
  <c r="Q240" i="1"/>
  <c r="Q278" i="1"/>
  <c r="Q298" i="1"/>
  <c r="Q182" i="1"/>
  <c r="Q247" i="1"/>
  <c r="Q124" i="1"/>
  <c r="Q121" i="1"/>
  <c r="Q142" i="1"/>
  <c r="Q164" i="1"/>
  <c r="Q270" i="1"/>
  <c r="Q43" i="1"/>
  <c r="Q44" i="1"/>
  <c r="Q160" i="1"/>
  <c r="Q147" i="1"/>
  <c r="Q30" i="1"/>
  <c r="Q138" i="1"/>
  <c r="Q88" i="1"/>
  <c r="Q272" i="1"/>
  <c r="Q78" i="1"/>
  <c r="Q137" i="1"/>
  <c r="Q259" i="1"/>
  <c r="Q277" i="1"/>
  <c r="Q149" i="1"/>
  <c r="Q199" i="1"/>
  <c r="Q153" i="1"/>
  <c r="Q287" i="1"/>
  <c r="Q69" i="1"/>
  <c r="Q86" i="1"/>
  <c r="Q33" i="1"/>
  <c r="Q219" i="1"/>
  <c r="Q212" i="1"/>
  <c r="Q243" i="1"/>
  <c r="Q42" i="1"/>
  <c r="Q295" i="1"/>
  <c r="Q7" i="1"/>
  <c r="Q154" i="1"/>
  <c r="Q38" i="1"/>
  <c r="Q242" i="1"/>
  <c r="Q113" i="1"/>
  <c r="Q130" i="1"/>
  <c r="Q29" i="1"/>
  <c r="Q47" i="1"/>
  <c r="Q90" i="1"/>
  <c r="Q95" i="1"/>
  <c r="Q117" i="1"/>
  <c r="Q276" i="1"/>
  <c r="Q110" i="1"/>
  <c r="Q48" i="1"/>
  <c r="Q296" i="1"/>
  <c r="Q55" i="1"/>
  <c r="Q61" i="1"/>
  <c r="Q84" i="1"/>
  <c r="Q139" i="1"/>
  <c r="Q222" i="1"/>
  <c r="Q253" i="1"/>
  <c r="Q53" i="1"/>
  <c r="Q141" i="1"/>
  <c r="Q166" i="1"/>
  <c r="Q165" i="1"/>
  <c r="Q263" i="1"/>
  <c r="Q148" i="1"/>
  <c r="Q5" i="1"/>
  <c r="Q15" i="1"/>
  <c r="Q193" i="1"/>
  <c r="Q174" i="1"/>
  <c r="Q167" i="1"/>
  <c r="Q208" i="1"/>
  <c r="Q62" i="1"/>
  <c r="Q126" i="1"/>
  <c r="Q273" i="1"/>
  <c r="Q41" i="1"/>
  <c r="Q300" i="1"/>
  <c r="Q175" i="1"/>
  <c r="Q105" i="1"/>
  <c r="Q196" i="1"/>
  <c r="Q185" i="1"/>
  <c r="Q93" i="1"/>
  <c r="Q89" i="1"/>
  <c r="Q286" i="1"/>
  <c r="Q51" i="1"/>
  <c r="Q133" i="1"/>
  <c r="Q230" i="1"/>
  <c r="Q75" i="1"/>
  <c r="Q255" i="1"/>
  <c r="Q132" i="1"/>
  <c r="Q237" i="1"/>
  <c r="Q115" i="1"/>
  <c r="Q57" i="1"/>
  <c r="Q106" i="1"/>
  <c r="Q13" i="1"/>
  <c r="Q236" i="1"/>
  <c r="Q34" i="1"/>
  <c r="Q39" i="1"/>
  <c r="Q197" i="1"/>
  <c r="Q129" i="1"/>
  <c r="Q170" i="1"/>
  <c r="Q294" i="1"/>
  <c r="Q293" i="1"/>
  <c r="Q213" i="1"/>
  <c r="Q111" i="1"/>
  <c r="Q246" i="1"/>
  <c r="Q76" i="1"/>
  <c r="Q256" i="1"/>
  <c r="Q72" i="1"/>
  <c r="Q66" i="1"/>
  <c r="Q248" i="1"/>
  <c r="Q36" i="1"/>
  <c r="Q118" i="1"/>
  <c r="Q252" i="1"/>
  <c r="Q12" i="1"/>
  <c r="Q162" i="1"/>
  <c r="Q156" i="1"/>
  <c r="Q285" i="1"/>
  <c r="Q114" i="1"/>
  <c r="Q159" i="1"/>
  <c r="Q99" i="1"/>
  <c r="Q228" i="1"/>
  <c r="Q223" i="1"/>
  <c r="Q279" i="1"/>
  <c r="Q152" i="1"/>
  <c r="Q157" i="1"/>
  <c r="Q158" i="1"/>
  <c r="Q207" i="1"/>
  <c r="Q283" i="1"/>
  <c r="Q50" i="1"/>
  <c r="Q206" i="1"/>
  <c r="Q9" i="1"/>
  <c r="Q97" i="1"/>
  <c r="Q19" i="1"/>
  <c r="Q183" i="1"/>
  <c r="Q267" i="1"/>
  <c r="Q20" i="1"/>
  <c r="Q109" i="1"/>
  <c r="Q127" i="1"/>
  <c r="Q104" i="1"/>
  <c r="Q192" i="1"/>
  <c r="Q194" i="1"/>
  <c r="Q168" i="1"/>
  <c r="Q45" i="1"/>
  <c r="Q172" i="1"/>
  <c r="Q274" i="1"/>
  <c r="Q244" i="1"/>
  <c r="Q186" i="1"/>
  <c r="Q82" i="1"/>
  <c r="Q18" i="1"/>
  <c r="Q140" i="1"/>
  <c r="Q70" i="1"/>
  <c r="Q60" i="1"/>
  <c r="Q101" i="1"/>
  <c r="Q56" i="1"/>
  <c r="Q178" i="1"/>
  <c r="Q161" i="1"/>
  <c r="Q2" i="1"/>
  <c r="Q202" i="1"/>
  <c r="Q181" i="1"/>
  <c r="Q27" i="1"/>
  <c r="Q131" i="1"/>
  <c r="Q80" i="1"/>
  <c r="Q73" i="1"/>
  <c r="Q10" i="1"/>
  <c r="Q261" i="1"/>
  <c r="Q250" i="1"/>
  <c r="Q98" i="1"/>
  <c r="Q254" i="1"/>
  <c r="Q85" i="1"/>
  <c r="Q163" i="1"/>
  <c r="Q209" i="1"/>
  <c r="Q241" i="1"/>
  <c r="Q232" i="1"/>
  <c r="Q107" i="1"/>
  <c r="Q83" i="1"/>
  <c r="Q200" i="1"/>
  <c r="Q189" i="1"/>
  <c r="Q187" i="1"/>
  <c r="Q195" i="1"/>
  <c r="Q269" i="1"/>
  <c r="Q291" i="1"/>
  <c r="Q188" i="1"/>
  <c r="Q301" i="1"/>
  <c r="Q281" i="1"/>
  <c r="Q262" i="1"/>
  <c r="Q210" i="1"/>
  <c r="Q214" i="1"/>
  <c r="Q203" i="1"/>
  <c r="Q79" i="1"/>
  <c r="Q65" i="1"/>
  <c r="Q229" i="1"/>
  <c r="Q77" i="1"/>
  <c r="Q58" i="1"/>
  <c r="Q123" i="1"/>
  <c r="Q23" i="1"/>
  <c r="Q119" i="1"/>
  <c r="Q258" i="1"/>
  <c r="Q92" i="1"/>
  <c r="Q275" i="1"/>
  <c r="Q52" i="1"/>
  <c r="Q81" i="1"/>
  <c r="Q231" i="1"/>
  <c r="Q150" i="1"/>
  <c r="Q22" i="1"/>
  <c r="Q24" i="1"/>
  <c r="Q37" i="1"/>
  <c r="Q3" i="1"/>
  <c r="Q235" i="1"/>
  <c r="Q14" i="1"/>
  <c r="Q17" i="1"/>
  <c r="Q180" i="1"/>
  <c r="Q46" i="1"/>
  <c r="Q169" i="1"/>
  <c r="Q112" i="1"/>
  <c r="Q102" i="1"/>
  <c r="Q49" i="1"/>
  <c r="Q251" i="1"/>
  <c r="Q290" i="1"/>
  <c r="Q234" i="1"/>
  <c r="Q173" i="1"/>
  <c r="Q239" i="1"/>
  <c r="Q190" i="1"/>
  <c r="Q40" i="1"/>
  <c r="Q216" i="1"/>
  <c r="Q25" i="1"/>
  <c r="Q100" i="1"/>
  <c r="Q11" i="1"/>
  <c r="Q292" i="1"/>
  <c r="Q134" i="1"/>
  <c r="Q28" i="1"/>
  <c r="Q135" i="1"/>
  <c r="Q91" i="1"/>
  <c r="Q35" i="1"/>
  <c r="Q8" i="1"/>
  <c r="Q143" i="1"/>
  <c r="Q128" i="1"/>
  <c r="Q171" i="1"/>
  <c r="Q96" i="1"/>
  <c r="Q289" i="1"/>
  <c r="Q238" i="1"/>
  <c r="Q271" i="1"/>
  <c r="Q6" i="1"/>
  <c r="Q87" i="1"/>
  <c r="Q145" i="1"/>
  <c r="Q198" i="1"/>
  <c r="Q136" i="1"/>
  <c r="Q74" i="1"/>
  <c r="Q268" i="1"/>
  <c r="Q21" i="1"/>
  <c r="Q68" i="1"/>
  <c r="Q151" i="1"/>
  <c r="Q282" i="1"/>
  <c r="Q218" i="1"/>
  <c r="Q201" i="1"/>
  <c r="Q108" i="1"/>
  <c r="Q116" i="1"/>
  <c r="Q224" i="1"/>
  <c r="Q280" i="1"/>
  <c r="Q26" i="1"/>
  <c r="Q16" i="1"/>
  <c r="Q297" i="1"/>
  <c r="Q299" i="1"/>
  <c r="Q217" i="1"/>
  <c r="Q284" i="1"/>
  <c r="Q257" i="1"/>
  <c r="Q31" i="1"/>
  <c r="Q204" i="1"/>
  <c r="Q226" i="1"/>
  <c r="Q146" i="1"/>
  <c r="Q191" i="1"/>
  <c r="Q4" i="1"/>
  <c r="Q177" i="1"/>
  <c r="Q64" i="1"/>
  <c r="F261" i="3" l="1"/>
  <c r="F292" i="3"/>
  <c r="F123" i="3"/>
  <c r="F144" i="3"/>
  <c r="F283" i="3"/>
  <c r="F217" i="3"/>
  <c r="F181" i="3"/>
  <c r="F44" i="3"/>
  <c r="F146" i="3"/>
  <c r="F22" i="3"/>
  <c r="F28" i="3"/>
  <c r="F183" i="3"/>
  <c r="F69" i="3"/>
  <c r="F91" i="3"/>
  <c r="F273" i="3"/>
  <c r="F82" i="3"/>
  <c r="F30" i="3"/>
  <c r="F6" i="3"/>
  <c r="F125" i="3"/>
  <c r="F124" i="3"/>
  <c r="F114" i="3"/>
  <c r="F142" i="3"/>
  <c r="F26" i="3"/>
  <c r="F189" i="3"/>
  <c r="F178" i="3"/>
  <c r="F180" i="3"/>
  <c r="F252" i="3"/>
  <c r="F89" i="3"/>
  <c r="F205" i="3"/>
  <c r="F66" i="3"/>
  <c r="F206" i="3"/>
  <c r="F46" i="3"/>
  <c r="F201" i="3"/>
  <c r="F130" i="3"/>
  <c r="F153" i="3"/>
  <c r="F177" i="3"/>
  <c r="F16" i="3"/>
  <c r="F117" i="3"/>
  <c r="F239" i="3"/>
  <c r="F170" i="3"/>
  <c r="F240" i="3"/>
  <c r="F230" i="3"/>
  <c r="F94" i="3"/>
  <c r="F231" i="3"/>
  <c r="F213" i="3"/>
  <c r="F194" i="3"/>
  <c r="F145" i="3"/>
  <c r="F293" i="3"/>
  <c r="F71" i="3"/>
  <c r="F151" i="3"/>
  <c r="F158" i="3"/>
  <c r="F155" i="3"/>
  <c r="F184" i="3"/>
  <c r="F42" i="3"/>
  <c r="F128" i="3"/>
  <c r="F58" i="3"/>
  <c r="F10" i="3"/>
  <c r="F103" i="3"/>
  <c r="F285" i="3"/>
  <c r="F186" i="3"/>
  <c r="F17" i="3"/>
  <c r="F204" i="3"/>
  <c r="F88" i="3"/>
  <c r="F276" i="3"/>
  <c r="F67" i="3"/>
  <c r="F238" i="3"/>
  <c r="F229" i="3"/>
  <c r="F25" i="3"/>
  <c r="F53" i="3"/>
  <c r="F141" i="3"/>
  <c r="F36" i="3"/>
  <c r="F275" i="3"/>
  <c r="F104" i="3"/>
  <c r="F176" i="3"/>
  <c r="F9" i="3"/>
  <c r="F50" i="3"/>
  <c r="F8" i="3"/>
  <c r="F264" i="3"/>
  <c r="F250" i="3"/>
  <c r="F267" i="3"/>
  <c r="F187" i="3"/>
  <c r="F301" i="3"/>
  <c r="F80" i="3"/>
  <c r="F14" i="3"/>
  <c r="F294" i="3"/>
  <c r="F61" i="3"/>
  <c r="F265" i="3"/>
  <c r="F109" i="3"/>
  <c r="F258" i="3"/>
  <c r="F154" i="3"/>
  <c r="F150" i="3"/>
  <c r="F295" i="3"/>
  <c r="F106" i="3"/>
  <c r="F149" i="3"/>
  <c r="F263" i="3"/>
  <c r="F172" i="3"/>
  <c r="F132" i="3"/>
  <c r="F84" i="3"/>
  <c r="F226" i="3"/>
  <c r="F2" i="3"/>
  <c r="F76" i="3"/>
  <c r="F297" i="3"/>
  <c r="F99" i="3"/>
  <c r="F224" i="3"/>
  <c r="F57" i="3"/>
  <c r="F107" i="3"/>
  <c r="F235" i="3"/>
  <c r="F43" i="3"/>
  <c r="F227" i="3"/>
  <c r="F73" i="3"/>
  <c r="F198" i="3"/>
  <c r="F248" i="3"/>
  <c r="F101" i="3"/>
  <c r="F207" i="3"/>
  <c r="F208" i="3"/>
  <c r="F98" i="3"/>
  <c r="F19" i="3"/>
  <c r="F211" i="3"/>
  <c r="F83" i="3"/>
  <c r="F120" i="3"/>
  <c r="F209" i="3"/>
  <c r="F49" i="3"/>
  <c r="F160" i="3"/>
  <c r="F95" i="3"/>
  <c r="F79" i="3"/>
  <c r="F214" i="3"/>
  <c r="F90" i="3"/>
  <c r="F23" i="3"/>
  <c r="F148" i="3"/>
  <c r="F113" i="3"/>
  <c r="F72" i="3"/>
  <c r="F247" i="3"/>
  <c r="F118" i="3"/>
  <c r="F92" i="3"/>
  <c r="F156" i="3"/>
  <c r="F27" i="3"/>
  <c r="F119" i="3"/>
  <c r="F3" i="3"/>
  <c r="F242" i="3"/>
  <c r="F169" i="3"/>
  <c r="F166" i="3"/>
  <c r="F299" i="3"/>
  <c r="F197" i="3"/>
  <c r="F271" i="3"/>
  <c r="F39" i="3"/>
  <c r="F105" i="3"/>
  <c r="F163" i="3"/>
  <c r="F171" i="3"/>
  <c r="F133" i="3"/>
  <c r="F157" i="3"/>
  <c r="F225" i="3"/>
  <c r="F246" i="3"/>
  <c r="F54" i="3"/>
  <c r="F243" i="3"/>
  <c r="F266" i="3"/>
  <c r="F195" i="3"/>
  <c r="F300" i="3"/>
  <c r="Q221" i="1"/>
  <c r="C2" i="2"/>
  <c r="C6" i="2"/>
  <c r="G2" i="2"/>
  <c r="L2" i="2"/>
  <c r="L4" i="2"/>
  <c r="L5" i="2"/>
  <c r="L7" i="2"/>
  <c r="L6" i="2"/>
  <c r="L3" i="2"/>
  <c r="K2" i="2"/>
  <c r="K4" i="2"/>
  <c r="K5" i="2"/>
  <c r="K7" i="2"/>
  <c r="K6" i="2"/>
  <c r="K3" i="2"/>
  <c r="J3" i="2"/>
  <c r="J2" i="2"/>
  <c r="J4" i="2"/>
  <c r="J5" i="2"/>
  <c r="J7" i="2"/>
  <c r="J6" i="2"/>
  <c r="I2" i="2"/>
  <c r="I4" i="2"/>
  <c r="I5" i="2"/>
  <c r="I7" i="2"/>
  <c r="I6" i="2"/>
  <c r="I3" i="2"/>
  <c r="H2" i="2"/>
  <c r="H4" i="2"/>
  <c r="H5" i="2"/>
  <c r="H7" i="2"/>
  <c r="H6" i="2"/>
  <c r="H3" i="2"/>
  <c r="G4" i="2"/>
  <c r="G5" i="2"/>
  <c r="G7" i="2"/>
  <c r="G6" i="2"/>
  <c r="G3" i="2"/>
  <c r="F302" i="1"/>
  <c r="F3" i="2"/>
  <c r="F4" i="2"/>
  <c r="F5" i="2"/>
  <c r="F7" i="2"/>
  <c r="F6" i="2"/>
  <c r="F2" i="2"/>
  <c r="D3" i="2" l="1"/>
  <c r="D7" i="2"/>
  <c r="D5" i="2"/>
  <c r="D4" i="2"/>
  <c r="E3" i="2"/>
  <c r="E7" i="2"/>
  <c r="E4" i="2"/>
  <c r="E5" i="2"/>
  <c r="C3" i="2" l="1"/>
  <c r="C5" i="2"/>
  <c r="C4" i="2"/>
  <c r="C7" i="2"/>
</calcChain>
</file>

<file path=xl/sharedStrings.xml><?xml version="1.0" encoding="utf-8"?>
<sst xmlns="http://schemas.openxmlformats.org/spreadsheetml/2006/main" count="3036" uniqueCount="573">
  <si>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</si>
  <si>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</si>
  <si>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</si>
  <si>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</si>
  <si>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</si>
  <si>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</si>
  <si>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</si>
  <si>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</si>
  <si>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</si>
  <si>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</si>
  <si>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</si>
  <si>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</si>
  <si>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</si>
  <si>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</si>
  <si>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</si>
  <si>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2024-12-23</t>
  </si>
  <si>
    <t>Reel</t>
  </si>
  <si>
    <t>Check out our latest reel on twitter!</t>
  </si>
  <si>
    <t>SummerSplash</t>
  </si>
  <si>
    <t>P002</t>
  </si>
  <si>
    <t>2025-04-03</t>
  </si>
  <si>
    <t>Text</t>
  </si>
  <si>
    <t>Check out our latest text on twitter!</t>
  </si>
  <si>
    <t>FestiveRadiance</t>
  </si>
  <si>
    <t>P003</t>
  </si>
  <si>
    <t>YouTube</t>
  </si>
  <si>
    <t>2025-05-12</t>
  </si>
  <si>
    <t>Check out our latest reel on youtube!</t>
  </si>
  <si>
    <t>#PepsiCoRefresh</t>
  </si>
  <si>
    <t>NewYearRefresh</t>
  </si>
  <si>
    <t>P004</t>
  </si>
  <si>
    <t>Instagram</t>
  </si>
  <si>
    <t>2024-08-12</t>
  </si>
  <si>
    <t>Story</t>
  </si>
  <si>
    <t>Check out our latest story on instagram!</t>
  </si>
  <si>
    <t>#ThirstyForMore</t>
  </si>
  <si>
    <t>DailyWellness</t>
  </si>
  <si>
    <t>P005</t>
  </si>
  <si>
    <t>2024-06-26</t>
  </si>
  <si>
    <t>P006</t>
  </si>
  <si>
    <t>Facebook</t>
  </si>
  <si>
    <t>2024-10-31</t>
  </si>
  <si>
    <t>Carousel</t>
  </si>
  <si>
    <t>Check out our latest carousel on facebook!</t>
  </si>
  <si>
    <t>P007</t>
  </si>
  <si>
    <t>2024-06-24</t>
  </si>
  <si>
    <t>Check out our latest carousel on twitter!</t>
  </si>
  <si>
    <t>P008</t>
  </si>
  <si>
    <t>2024-07-13</t>
  </si>
  <si>
    <t>Image</t>
  </si>
  <si>
    <t>Check out our latest image on youtube!</t>
  </si>
  <si>
    <t>P009</t>
  </si>
  <si>
    <t>2024-08-30</t>
  </si>
  <si>
    <t>Check out our latest text on facebook!</t>
  </si>
  <si>
    <t>P010</t>
  </si>
  <si>
    <t>2025-03-11</t>
  </si>
  <si>
    <t>Check out our latest image on facebook!</t>
  </si>
  <si>
    <t>P011</t>
  </si>
  <si>
    <t>2025-02-02</t>
  </si>
  <si>
    <t>#LiveForNow</t>
  </si>
  <si>
    <t>P012</t>
  </si>
  <si>
    <t>2024-07-21</t>
  </si>
  <si>
    <t>Check out our latest reel on facebook!</t>
  </si>
  <si>
    <t>P013</t>
  </si>
  <si>
    <t>2024-11-18</t>
  </si>
  <si>
    <t>Check out our latest carousel on youtube!</t>
  </si>
  <si>
    <t>P014</t>
  </si>
  <si>
    <t>2025-02-16</t>
  </si>
  <si>
    <t>Check out our latest story on facebook!</t>
  </si>
  <si>
    <t>P015</t>
  </si>
  <si>
    <t>2024-10-24</t>
  </si>
  <si>
    <t>Video</t>
  </si>
  <si>
    <t>Check out our latest video on facebook!</t>
  </si>
  <si>
    <t>P016</t>
  </si>
  <si>
    <t>2024-08-26</t>
  </si>
  <si>
    <t>P017</t>
  </si>
  <si>
    <t>2025-05-05</t>
  </si>
  <si>
    <t>P018</t>
  </si>
  <si>
    <t>2024-08-19</t>
  </si>
  <si>
    <t>Check out our latest reel on instagram!</t>
  </si>
  <si>
    <t>P019</t>
  </si>
  <si>
    <t>2024-06-23</t>
  </si>
  <si>
    <t>Check out our latest video on instagram!</t>
  </si>
  <si>
    <t>P020</t>
  </si>
  <si>
    <t>2024-09-09</t>
  </si>
  <si>
    <t>Check out our latest carousel on instagram!</t>
  </si>
  <si>
    <t>P021</t>
  </si>
  <si>
    <t>2025-01-04</t>
  </si>
  <si>
    <t>P022</t>
  </si>
  <si>
    <t>2025-02-27</t>
  </si>
  <si>
    <t>P023</t>
  </si>
  <si>
    <t>2024-11-06</t>
  </si>
  <si>
    <t>P024</t>
  </si>
  <si>
    <t>2025-01-23</t>
  </si>
  <si>
    <t>P025</t>
  </si>
  <si>
    <t>2025-04-10</t>
  </si>
  <si>
    <t>P026</t>
  </si>
  <si>
    <t>2025-04-05</t>
  </si>
  <si>
    <t>P027</t>
  </si>
  <si>
    <t>2024-09-17</t>
  </si>
  <si>
    <t>Check out our latest text on youtube!</t>
  </si>
  <si>
    <t>P028</t>
  </si>
  <si>
    <t>2025-03-04</t>
  </si>
  <si>
    <t>P029</t>
  </si>
  <si>
    <t>2025-01-31</t>
  </si>
  <si>
    <t>P030</t>
  </si>
  <si>
    <t>2025-02-25</t>
  </si>
  <si>
    <t>P031</t>
  </si>
  <si>
    <t>2024-12-16</t>
  </si>
  <si>
    <t>Check out our latest text on instagram!</t>
  </si>
  <si>
    <t>P032</t>
  </si>
  <si>
    <t>2024-07-31</t>
  </si>
  <si>
    <t>P033</t>
  </si>
  <si>
    <t>2024-08-21</t>
  </si>
  <si>
    <t>P034</t>
  </si>
  <si>
    <t>2025-03-26</t>
  </si>
  <si>
    <t>P035</t>
  </si>
  <si>
    <t>2024-11-30</t>
  </si>
  <si>
    <t>P036</t>
  </si>
  <si>
    <t>2025-04-19</t>
  </si>
  <si>
    <t>P037</t>
  </si>
  <si>
    <t>2025-01-06</t>
  </si>
  <si>
    <t>P038</t>
  </si>
  <si>
    <t>2025-02-17</t>
  </si>
  <si>
    <t>P039</t>
  </si>
  <si>
    <t>2024-11-25</t>
  </si>
  <si>
    <t>P040</t>
  </si>
  <si>
    <t>2025-03-07</t>
  </si>
  <si>
    <t>Check out our latest image on twitter!</t>
  </si>
  <si>
    <t>P041</t>
  </si>
  <si>
    <t>2025-03-08</t>
  </si>
  <si>
    <t>P042</t>
  </si>
  <si>
    <t>2025-03-05</t>
  </si>
  <si>
    <t>P043</t>
  </si>
  <si>
    <t>2024-12-14</t>
  </si>
  <si>
    <t>P044</t>
  </si>
  <si>
    <t>2025-03-02</t>
  </si>
  <si>
    <t>P045</t>
  </si>
  <si>
    <t>2024-11-01</t>
  </si>
  <si>
    <t>P046</t>
  </si>
  <si>
    <t>2025-05-02</t>
  </si>
  <si>
    <t>Check out our latest video on twitter!</t>
  </si>
  <si>
    <t>P047</t>
  </si>
  <si>
    <t>2025-02-24</t>
  </si>
  <si>
    <t>P048</t>
  </si>
  <si>
    <t>Check out our latest story on twitter!</t>
  </si>
  <si>
    <t>P049</t>
  </si>
  <si>
    <t>2024-06-10</t>
  </si>
  <si>
    <t>P050</t>
  </si>
  <si>
    <t>2024-07-03</t>
  </si>
  <si>
    <t>Check out our latest story on youtube!</t>
  </si>
  <si>
    <t>P051</t>
  </si>
  <si>
    <t>2024-06-13</t>
  </si>
  <si>
    <t>P052</t>
  </si>
  <si>
    <t>2025-01-03</t>
  </si>
  <si>
    <t>P053</t>
  </si>
  <si>
    <t>P054</t>
  </si>
  <si>
    <t>2025-03-13</t>
  </si>
  <si>
    <t>P055</t>
  </si>
  <si>
    <t>2024-06-17</t>
  </si>
  <si>
    <t>P056</t>
  </si>
  <si>
    <t>2024-12-18</t>
  </si>
  <si>
    <t>P057</t>
  </si>
  <si>
    <t>2024-10-21</t>
  </si>
  <si>
    <t>P058</t>
  </si>
  <si>
    <t>2025-04-15</t>
  </si>
  <si>
    <t>P059</t>
  </si>
  <si>
    <t>2024-06-22</t>
  </si>
  <si>
    <t>P060</t>
  </si>
  <si>
    <t>2025-01-28</t>
  </si>
  <si>
    <t>P061</t>
  </si>
  <si>
    <t>2024-09-05</t>
  </si>
  <si>
    <t>P062</t>
  </si>
  <si>
    <t>2024-11-22</t>
  </si>
  <si>
    <t>P063</t>
  </si>
  <si>
    <t>P064</t>
  </si>
  <si>
    <t>2024-08-17</t>
  </si>
  <si>
    <t>P065</t>
  </si>
  <si>
    <t>2025-03-28</t>
  </si>
  <si>
    <t>P066</t>
  </si>
  <si>
    <t>2024-07-26</t>
  </si>
  <si>
    <t>P067</t>
  </si>
  <si>
    <t>2025-03-29</t>
  </si>
  <si>
    <t>P068</t>
  </si>
  <si>
    <t>2024-12-08</t>
  </si>
  <si>
    <t>P069</t>
  </si>
  <si>
    <t>P070</t>
  </si>
  <si>
    <t>2025-04-02</t>
  </si>
  <si>
    <t>P071</t>
  </si>
  <si>
    <t>2024-09-02</t>
  </si>
  <si>
    <t>P072</t>
  </si>
  <si>
    <t>2025-03-03</t>
  </si>
  <si>
    <t>P073</t>
  </si>
  <si>
    <t>2024-10-18</t>
  </si>
  <si>
    <t>P074</t>
  </si>
  <si>
    <t>2024-10-28</t>
  </si>
  <si>
    <t>P075</t>
  </si>
  <si>
    <t>2024-08-01</t>
  </si>
  <si>
    <t>P076</t>
  </si>
  <si>
    <t>2024-11-07</t>
  </si>
  <si>
    <t>P077</t>
  </si>
  <si>
    <t>P078</t>
  </si>
  <si>
    <t>P079</t>
  </si>
  <si>
    <t>2024-10-09</t>
  </si>
  <si>
    <t>P080</t>
  </si>
  <si>
    <t>P081</t>
  </si>
  <si>
    <t>2024-10-19</t>
  </si>
  <si>
    <t>P082</t>
  </si>
  <si>
    <t>2024-07-24</t>
  </si>
  <si>
    <t>Check out our latest image on instagram!</t>
  </si>
  <si>
    <t>P083</t>
  </si>
  <si>
    <t>2024-10-15</t>
  </si>
  <si>
    <t>Check out our latest video on youtube!</t>
  </si>
  <si>
    <t>P084</t>
  </si>
  <si>
    <t>2024-12-09</t>
  </si>
  <si>
    <t>P085</t>
  </si>
  <si>
    <t>P086</t>
  </si>
  <si>
    <t>2025-01-27</t>
  </si>
  <si>
    <t>P087</t>
  </si>
  <si>
    <t>2024-06-06</t>
  </si>
  <si>
    <t>P088</t>
  </si>
  <si>
    <t>2024-07-07</t>
  </si>
  <si>
    <t>P089</t>
  </si>
  <si>
    <t>2025-01-10</t>
  </si>
  <si>
    <t>P090</t>
  </si>
  <si>
    <t>2024-06-03</t>
  </si>
  <si>
    <t>P091</t>
  </si>
  <si>
    <t>2025-03-24</t>
  </si>
  <si>
    <t>P092</t>
  </si>
  <si>
    <t>P093</t>
  </si>
  <si>
    <t>2024-12-11</t>
  </si>
  <si>
    <t>P094</t>
  </si>
  <si>
    <t>P095</t>
  </si>
  <si>
    <t>2024-11-08</t>
  </si>
  <si>
    <t>P096</t>
  </si>
  <si>
    <t>2024-09-10</t>
  </si>
  <si>
    <t>P097</t>
  </si>
  <si>
    <t>2024-08-13</t>
  </si>
  <si>
    <t>P098</t>
  </si>
  <si>
    <t>P099</t>
  </si>
  <si>
    <t>2024-07-02</t>
  </si>
  <si>
    <t>P100</t>
  </si>
  <si>
    <t>2025-02-10</t>
  </si>
  <si>
    <t>P101</t>
  </si>
  <si>
    <t>P102</t>
  </si>
  <si>
    <t>2024-09-18</t>
  </si>
  <si>
    <t>P103</t>
  </si>
  <si>
    <t>2024-06-11</t>
  </si>
  <si>
    <t>P104</t>
  </si>
  <si>
    <t>2025-03-23</t>
  </si>
  <si>
    <t>P105</t>
  </si>
  <si>
    <t>2024-06-14</t>
  </si>
  <si>
    <t>P106</t>
  </si>
  <si>
    <t>2025-02-04</t>
  </si>
  <si>
    <t>P107</t>
  </si>
  <si>
    <t>2024-06-21</t>
  </si>
  <si>
    <t>P108</t>
  </si>
  <si>
    <t>2025-03-25</t>
  </si>
  <si>
    <t>P109</t>
  </si>
  <si>
    <t>2024-08-08</t>
  </si>
  <si>
    <t>P110</t>
  </si>
  <si>
    <t>2024-07-29</t>
  </si>
  <si>
    <t>P111</t>
  </si>
  <si>
    <t>2024-11-23</t>
  </si>
  <si>
    <t>P112</t>
  </si>
  <si>
    <t>2024-10-05</t>
  </si>
  <si>
    <t>P113</t>
  </si>
  <si>
    <t>2024-10-02</t>
  </si>
  <si>
    <t>P114</t>
  </si>
  <si>
    <t>2024-11-14</t>
  </si>
  <si>
    <t>P115</t>
  </si>
  <si>
    <t>2025-05-11</t>
  </si>
  <si>
    <t>P116</t>
  </si>
  <si>
    <t>2025-03-18</t>
  </si>
  <si>
    <t>P117</t>
  </si>
  <si>
    <t>2024-11-04</t>
  </si>
  <si>
    <t>P118</t>
  </si>
  <si>
    <t>P119</t>
  </si>
  <si>
    <t>2025-02-07</t>
  </si>
  <si>
    <t>P120</t>
  </si>
  <si>
    <t>P121</t>
  </si>
  <si>
    <t>P122</t>
  </si>
  <si>
    <t>P123</t>
  </si>
  <si>
    <t>P124</t>
  </si>
  <si>
    <t>2025-04-06</t>
  </si>
  <si>
    <t>P125</t>
  </si>
  <si>
    <t>2024-09-08</t>
  </si>
  <si>
    <t>P126</t>
  </si>
  <si>
    <t>P127</t>
  </si>
  <si>
    <t>P128</t>
  </si>
  <si>
    <t>P129</t>
  </si>
  <si>
    <t>P130</t>
  </si>
  <si>
    <t>2024-09-29</t>
  </si>
  <si>
    <t>P131</t>
  </si>
  <si>
    <t>P132</t>
  </si>
  <si>
    <t>P133</t>
  </si>
  <si>
    <t>2025-02-06</t>
  </si>
  <si>
    <t>P134</t>
  </si>
  <si>
    <t>2025-04-24</t>
  </si>
  <si>
    <t>P135</t>
  </si>
  <si>
    <t>2024-11-28</t>
  </si>
  <si>
    <t>P136</t>
  </si>
  <si>
    <t>2024-07-11</t>
  </si>
  <si>
    <t>P137</t>
  </si>
  <si>
    <t>P138</t>
  </si>
  <si>
    <t>P139</t>
  </si>
  <si>
    <t>2024-10-29</t>
  </si>
  <si>
    <t>P140</t>
  </si>
  <si>
    <t>2024-07-15</t>
  </si>
  <si>
    <t>P141</t>
  </si>
  <si>
    <t>2024-08-31</t>
  </si>
  <si>
    <t>P142</t>
  </si>
  <si>
    <t>P143</t>
  </si>
  <si>
    <t>P144</t>
  </si>
  <si>
    <t>P145</t>
  </si>
  <si>
    <t>P146</t>
  </si>
  <si>
    <t>2024-06-05</t>
  </si>
  <si>
    <t>P147</t>
  </si>
  <si>
    <t>P148</t>
  </si>
  <si>
    <t>P149</t>
  </si>
  <si>
    <t>2024-06-16</t>
  </si>
  <si>
    <t>P150</t>
  </si>
  <si>
    <t>2024-08-22</t>
  </si>
  <si>
    <t>P151</t>
  </si>
  <si>
    <t>P152</t>
  </si>
  <si>
    <t>2025-04-22</t>
  </si>
  <si>
    <t>P153</t>
  </si>
  <si>
    <t>2025-01-01</t>
  </si>
  <si>
    <t>P154</t>
  </si>
  <si>
    <t>P155</t>
  </si>
  <si>
    <t>2024-12-21</t>
  </si>
  <si>
    <t>P156</t>
  </si>
  <si>
    <t>2024-10-22</t>
  </si>
  <si>
    <t>P157</t>
  </si>
  <si>
    <t>2024-07-23</t>
  </si>
  <si>
    <t>P158</t>
  </si>
  <si>
    <t>2024-08-11</t>
  </si>
  <si>
    <t>P159</t>
  </si>
  <si>
    <t>P160</t>
  </si>
  <si>
    <t>2024-08-24</t>
  </si>
  <si>
    <t>P161</t>
  </si>
  <si>
    <t>2025-02-19</t>
  </si>
  <si>
    <t>P162</t>
  </si>
  <si>
    <t>2025-04-01</t>
  </si>
  <si>
    <t>P163</t>
  </si>
  <si>
    <t>2025-04-08</t>
  </si>
  <si>
    <t>P164</t>
  </si>
  <si>
    <t>P165</t>
  </si>
  <si>
    <t>P166</t>
  </si>
  <si>
    <t>P167</t>
  </si>
  <si>
    <t>P168</t>
  </si>
  <si>
    <t>2024-11-12</t>
  </si>
  <si>
    <t>P169</t>
  </si>
  <si>
    <t>2024-12-03</t>
  </si>
  <si>
    <t>P170</t>
  </si>
  <si>
    <t>2025-04-28</t>
  </si>
  <si>
    <t>P171</t>
  </si>
  <si>
    <t>2024-12-31</t>
  </si>
  <si>
    <t>P172</t>
  </si>
  <si>
    <t>2024-08-14</t>
  </si>
  <si>
    <t>P173</t>
  </si>
  <si>
    <t>2024-12-05</t>
  </si>
  <si>
    <t>P174</t>
  </si>
  <si>
    <t>P175</t>
  </si>
  <si>
    <t>2025-01-17</t>
  </si>
  <si>
    <t>P176</t>
  </si>
  <si>
    <t>2024-06-20</t>
  </si>
  <si>
    <t>P177</t>
  </si>
  <si>
    <t>2024-07-10</t>
  </si>
  <si>
    <t>P178</t>
  </si>
  <si>
    <t>P179</t>
  </si>
  <si>
    <t>P180</t>
  </si>
  <si>
    <t>P181</t>
  </si>
  <si>
    <t>2025-03-21</t>
  </si>
  <si>
    <t>P182</t>
  </si>
  <si>
    <t>P183</t>
  </si>
  <si>
    <t>2024-12-17</t>
  </si>
  <si>
    <t>P184</t>
  </si>
  <si>
    <t>2024-07-28</t>
  </si>
  <si>
    <t>P185</t>
  </si>
  <si>
    <t>2025-01-11</t>
  </si>
  <si>
    <t>P186</t>
  </si>
  <si>
    <t>P187</t>
  </si>
  <si>
    <t>2024-12-22</t>
  </si>
  <si>
    <t>P188</t>
  </si>
  <si>
    <t>P189</t>
  </si>
  <si>
    <t>P190</t>
  </si>
  <si>
    <t>2024-10-04</t>
  </si>
  <si>
    <t>P191</t>
  </si>
  <si>
    <t>P192</t>
  </si>
  <si>
    <t>2024-11-29</t>
  </si>
  <si>
    <t>P193</t>
  </si>
  <si>
    <t>2024-09-11</t>
  </si>
  <si>
    <t>P194</t>
  </si>
  <si>
    <t>P195</t>
  </si>
  <si>
    <t>2024-08-15</t>
  </si>
  <si>
    <t>P196</t>
  </si>
  <si>
    <t>2024-12-19</t>
  </si>
  <si>
    <t>P197</t>
  </si>
  <si>
    <t>P198</t>
  </si>
  <si>
    <t>2024-09-14</t>
  </si>
  <si>
    <t>P199</t>
  </si>
  <si>
    <t>P200</t>
  </si>
  <si>
    <t>2025-04-07</t>
  </si>
  <si>
    <t>P201</t>
  </si>
  <si>
    <t>2025-01-15</t>
  </si>
  <si>
    <t>P202</t>
  </si>
  <si>
    <t>2024-06-02</t>
  </si>
  <si>
    <t>P203</t>
  </si>
  <si>
    <t>2024-11-21</t>
  </si>
  <si>
    <t>P204</t>
  </si>
  <si>
    <t>P205</t>
  </si>
  <si>
    <t>P206</t>
  </si>
  <si>
    <t>P207</t>
  </si>
  <si>
    <t>2024-12-29</t>
  </si>
  <si>
    <t>P208</t>
  </si>
  <si>
    <t>P209</t>
  </si>
  <si>
    <t>2025-03-19</t>
  </si>
  <si>
    <t>P210</t>
  </si>
  <si>
    <t>P211</t>
  </si>
  <si>
    <t>2024-07-18</t>
  </si>
  <si>
    <t>P212</t>
  </si>
  <si>
    <t>P213</t>
  </si>
  <si>
    <t>2025-05-01</t>
  </si>
  <si>
    <t>P214</t>
  </si>
  <si>
    <t>P215</t>
  </si>
  <si>
    <t>2025-05-06</t>
  </si>
  <si>
    <t>P216</t>
  </si>
  <si>
    <t>P217</t>
  </si>
  <si>
    <t>P218</t>
  </si>
  <si>
    <t>P219</t>
  </si>
  <si>
    <t>P220</t>
  </si>
  <si>
    <t>P221</t>
  </si>
  <si>
    <t>P222</t>
  </si>
  <si>
    <t>2024-10-08</t>
  </si>
  <si>
    <t>P223</t>
  </si>
  <si>
    <t>P224</t>
  </si>
  <si>
    <t>2025-05-13</t>
  </si>
  <si>
    <t>P225</t>
  </si>
  <si>
    <t>P226</t>
  </si>
  <si>
    <t>2024-08-07</t>
  </si>
  <si>
    <t>P227</t>
  </si>
  <si>
    <t>2024-06-12</t>
  </si>
  <si>
    <t>P228</t>
  </si>
  <si>
    <t>2024-07-01</t>
  </si>
  <si>
    <t>P229</t>
  </si>
  <si>
    <t>P230</t>
  </si>
  <si>
    <t>P231</t>
  </si>
  <si>
    <t>P232</t>
  </si>
  <si>
    <t>2025-04-29</t>
  </si>
  <si>
    <t>P233</t>
  </si>
  <si>
    <t>P234</t>
  </si>
  <si>
    <t>2024-06-01</t>
  </si>
  <si>
    <t>P235</t>
  </si>
  <si>
    <t>P236</t>
  </si>
  <si>
    <t>P237</t>
  </si>
  <si>
    <t>P238</t>
  </si>
  <si>
    <t>2024-07-16</t>
  </si>
  <si>
    <t>P239</t>
  </si>
  <si>
    <t>P240</t>
  </si>
  <si>
    <t>P241</t>
  </si>
  <si>
    <t>2025-01-18</t>
  </si>
  <si>
    <t>P242</t>
  </si>
  <si>
    <t>P243</t>
  </si>
  <si>
    <t>2025-03-06</t>
  </si>
  <si>
    <t>P244</t>
  </si>
  <si>
    <t>2024-10-25</t>
  </si>
  <si>
    <t>P245</t>
  </si>
  <si>
    <t>2025-01-12</t>
  </si>
  <si>
    <t>P246</t>
  </si>
  <si>
    <t>2024-10-11</t>
  </si>
  <si>
    <t>P247</t>
  </si>
  <si>
    <t>2024-08-27</t>
  </si>
  <si>
    <t>P248</t>
  </si>
  <si>
    <t>P249</t>
  </si>
  <si>
    <t>P250</t>
  </si>
  <si>
    <t>P251</t>
  </si>
  <si>
    <t>2025-03-27</t>
  </si>
  <si>
    <t>P252</t>
  </si>
  <si>
    <t>P253</t>
  </si>
  <si>
    <t>2024-08-03</t>
  </si>
  <si>
    <t>P254</t>
  </si>
  <si>
    <t>2025-01-14</t>
  </si>
  <si>
    <t>P255</t>
  </si>
  <si>
    <t>P256</t>
  </si>
  <si>
    <t>P257</t>
  </si>
  <si>
    <t>P258</t>
  </si>
  <si>
    <t>2024-08-05</t>
  </si>
  <si>
    <t>P259</t>
  </si>
  <si>
    <t>P260</t>
  </si>
  <si>
    <t>2025-02-12</t>
  </si>
  <si>
    <t>P261</t>
  </si>
  <si>
    <t>2024-10-27</t>
  </si>
  <si>
    <t>P262</t>
  </si>
  <si>
    <t>P263</t>
  </si>
  <si>
    <t>2024-08-20</t>
  </si>
  <si>
    <t>P264</t>
  </si>
  <si>
    <t>2025-01-30</t>
  </si>
  <si>
    <t>P265</t>
  </si>
  <si>
    <t>2025-02-20</t>
  </si>
  <si>
    <t>P266</t>
  </si>
  <si>
    <t>P267</t>
  </si>
  <si>
    <t>P268</t>
  </si>
  <si>
    <t>2025-04-13</t>
  </si>
  <si>
    <t>P269</t>
  </si>
  <si>
    <t>2024-11-05</t>
  </si>
  <si>
    <t>P270</t>
  </si>
  <si>
    <t>P271</t>
  </si>
  <si>
    <t>2024-10-17</t>
  </si>
  <si>
    <t>P272</t>
  </si>
  <si>
    <t>P273</t>
  </si>
  <si>
    <t>2024-10-12</t>
  </si>
  <si>
    <t>P274</t>
  </si>
  <si>
    <t>P275</t>
  </si>
  <si>
    <t>P276</t>
  </si>
  <si>
    <t>2024-06-07</t>
  </si>
  <si>
    <t>P277</t>
  </si>
  <si>
    <t>P278</t>
  </si>
  <si>
    <t>2024-11-26</t>
  </si>
  <si>
    <t>P279</t>
  </si>
  <si>
    <t>P280</t>
  </si>
  <si>
    <t>P281</t>
  </si>
  <si>
    <t>2025-03-22</t>
  </si>
  <si>
    <t>P282</t>
  </si>
  <si>
    <t>2024-10-03</t>
  </si>
  <si>
    <t>P283</t>
  </si>
  <si>
    <t>2025-05-09</t>
  </si>
  <si>
    <t>P284</t>
  </si>
  <si>
    <t>P285</t>
  </si>
  <si>
    <t>P286</t>
  </si>
  <si>
    <t>2024-09-25</t>
  </si>
  <si>
    <t>P287</t>
  </si>
  <si>
    <t>P288</t>
  </si>
  <si>
    <t>2025-04-17</t>
  </si>
  <si>
    <t>P289</t>
  </si>
  <si>
    <t>P290</t>
  </si>
  <si>
    <t>2024-12-20</t>
  </si>
  <si>
    <t>P291</t>
  </si>
  <si>
    <t>P292</t>
  </si>
  <si>
    <t>2024-11-17</t>
  </si>
  <si>
    <t>P293</t>
  </si>
  <si>
    <t>2025-05-14</t>
  </si>
  <si>
    <t>P294</t>
  </si>
  <si>
    <t>2024-06-19</t>
  </si>
  <si>
    <t>P295</t>
  </si>
  <si>
    <t>P296</t>
  </si>
  <si>
    <t>2025-02-11</t>
  </si>
  <si>
    <t>P297</t>
  </si>
  <si>
    <t>2024-12-24</t>
  </si>
  <si>
    <t>P298</t>
  </si>
  <si>
    <t>P299</t>
  </si>
  <si>
    <t>P300</t>
  </si>
  <si>
    <t>#AnytimeIsPepsiTime</t>
  </si>
  <si>
    <t>#BetterWithPepsi</t>
  </si>
  <si>
    <t>#SmoothLikeNitroPepsi</t>
  </si>
  <si>
    <t>Hashtags Used 2</t>
  </si>
  <si>
    <t>Hashtags Used 3</t>
  </si>
  <si>
    <t>Count</t>
  </si>
  <si>
    <t>Hashtag Presence</t>
  </si>
  <si>
    <t>Sum 1</t>
  </si>
  <si>
    <t>Sum 2</t>
  </si>
  <si>
    <t>Sum 3</t>
  </si>
  <si>
    <t>AVG likes</t>
  </si>
  <si>
    <t>Comments Sum 1</t>
  </si>
  <si>
    <t>Comments Sum 3</t>
  </si>
  <si>
    <t>Comments Sum 2</t>
  </si>
  <si>
    <t>Avg_Comments</t>
  </si>
  <si>
    <t>Performance</t>
  </si>
  <si>
    <t>Engagement Rate</t>
  </si>
  <si>
    <t>Click Rate</t>
  </si>
  <si>
    <t>Grand Total</t>
  </si>
  <si>
    <t>Average of Performance</t>
  </si>
  <si>
    <t>Average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</si>
</sst>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2" xfId="0" applyFont="1" applyBorder="1"/>
    <xf numFmtId="0" fontId="6" fillId="0" borderId="1" xfId="0" applyFont="1" applyBorder="1" applyAlignment="1">
      <alignment horizontal="center" vertical="top"/>
    </xf>
    <xf numFmtId="0" fontId="7" fillId="0" borderId="0" xfId="0" applyFont="1"/>
    <xf numFmtId="0" fontId="2" fillId="0" borderId="3" xfId="0" applyFont="1" applyBorder="1" applyAlignment="1">
      <alignment horizontal="center" vertical="top"/>
    </xf>
    <xf numFmtId="2" fontId="0" fillId="0" borderId="0" xfId="0" applyNumberFormat="1"/>
    <xf numFmtId="1" fontId="0" fillId="0" borderId="0" xfId="0" applyNumberFormat="1"/>
    <xf numFmtId="2" fontId="8" fillId="0" borderId="0" xfId="0" applyNumberFormat="1" applyFont="1"/>
    <xf numFmtId="0" fontId="6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 wrapText="1"/>
    </xf>
    <xf numFmtId="0" fontId="9" fillId="0" borderId="2" xfId="0" applyFont="1" applyBorder="1"/>
    <xf numFmtId="0" fontId="8" fillId="0" borderId="0" xfId="0" applyFont="1"/>
    <xf numFmtId="0" fontId="10" fillId="0" borderId="2" xfId="0" applyFont="1" applyBorder="1" applyAlignment="1">
      <alignment horizontal="center" vertical="top"/>
    </xf>
    <xf numFmtId="0" fontId="10" fillId="0" borderId="3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left"/>
    </xf>
    <xf numFmtId="0" fontId="6" fillId="0" borderId="0" xfId="0" applyFont="1" applyAlignment="1">
      <alignment horizontal="center" vertical="top"/>
    </xf>
  </cellXfs>
  <cellStyles count="1">
    <cellStyle name="Normal" xfId="0" builtinId="0"/>
  </cellStyles>
  <dxfs count="2">
    <dxf>
      <alignment horizontal="left"/>
    </dxf>
    <dxf>
      <alignment vertical="botto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144780</xdr:colOff>
      <xdr:row>5</xdr:row>
      <xdr:rowOff>167640</xdr:rowOff>
    </xdr:from>
    <xdr:to>
      <xdr:col>13</xdr:col>
      <xdr:colOff>601980</xdr:colOff>
      <xdr:row>12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B7C8107-A2E0-8811-C44E-38063790ED2D}"/>
            </a:ext>
          </a:extLst>
        </xdr:cNvPr>
        <xdr:cNvSpPr txBox="1"/>
      </xdr:nvSpPr>
      <xdr:spPr>
        <a:xfrm>
          <a:off x="7315200" y="1325880"/>
          <a:ext cx="2948940" cy="1219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Formule</a:t>
          </a:r>
          <a:r>
            <a:rPr lang="en-US" sz="1100" baseline="0"/>
            <a:t> used </a:t>
          </a:r>
        </a:p>
        <a:p>
          <a:r>
            <a:rPr lang="en-US" sz="1100" baseline="0"/>
            <a:t>1. Engagement rate = </a:t>
          </a:r>
          <a:r>
            <a:rPr lang="en-US"/>
            <a:t>(Likes + Shares + Comments) / Impressions</a:t>
          </a:r>
          <a:endParaRPr lang="en-US" sz="1100" baseline="0"/>
        </a:p>
        <a:p>
          <a:r>
            <a:rPr lang="en-US" sz="1100" baseline="0"/>
            <a:t>2. Click Rate = Click / Reach</a:t>
          </a:r>
        </a:p>
        <a:p>
          <a:r>
            <a:rPr lang="en-US" sz="1100" baseline="0"/>
            <a:t>3. </a:t>
          </a:r>
          <a:r>
            <a:rPr lang="en-US" sz="1100" b="1" baseline="0"/>
            <a:t>Performace = Engagement Rate + Click Rate</a:t>
          </a:r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887.571278587966" createdVersion="8" refreshedVersion="8" minRefreshableVersion="3" recordCount="300" xr:uid="{5C0A04BF-EBA4-41CD-AD91-1EF1F6789CAC}">
  <cacheSource type="worksheet">
    <worksheetSource ref="A1:F301" sheet="Conetnt Performance"/>
  </cacheSource>
  <cacheFields count="6">
    <cacheField name="Post ID" numFmtId="0">
      <sharedItems/>
    </cacheField>
    <cacheField name="Platform" numFmtId="0">
      <sharedItems count="4">
        <s v="Instagram"/>
        <s v="Twitter"/>
        <s v="YouTube"/>
        <s v="Facebook"/>
      </sharedItems>
    </cacheField>
    <cacheField name="Content Type" numFmtId="0">
      <sharedItems count="6">
        <s v="Reel"/>
        <s v="Text"/>
        <s v="Story"/>
        <s v="Carousel"/>
        <s v="Image"/>
        <s v="Video"/>
      </sharedItems>
    </cacheField>
    <cacheField name="Engagement Rate" numFmtId="2">
      <sharedItems containsSemiMixedTypes="0" containsString="0" containsNumber="1" minValue="5.2551586421122697E-2" maxValue="1.8129251700680271"/>
    </cacheField>
    <cacheField name="Click Rate" numFmtId="2">
      <sharedItems containsSemiMixedTypes="0" containsString="0" containsNumber="1" minValue="1.5998293515358361E-4" maxValue="21.142857142857142"/>
    </cacheField>
    <cacheField name="Performance" numFmtId="2">
      <sharedItems containsSemiMixedTypes="0" containsString="0" containsNumber="1" minValue="5.3946815852650418E-2" maxValue="21.6805929919137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001"/>
    <x v="0"/>
    <x v="0"/>
    <n v="9.0759753593429152E-2"/>
    <n v="6.9204152249134946E-4"/>
    <n v="9.1451795115920498E-2"/>
  </r>
  <r>
    <s v="P002"/>
    <x v="0"/>
    <x v="1"/>
    <n v="7.6097681302417369E-2"/>
    <n v="1.8172498951586598E-3"/>
    <n v="7.7914931197576032E-2"/>
  </r>
  <r>
    <s v="P003"/>
    <x v="1"/>
    <x v="0"/>
    <n v="5.5531494209584788E-2"/>
    <n v="3.9000516183302428E-3"/>
    <n v="5.943154582791503E-2"/>
  </r>
  <r>
    <s v="P004"/>
    <x v="0"/>
    <x v="2"/>
    <n v="0.15105033277870217"/>
    <n v="6.8684267010088E-3"/>
    <n v="0.15791875947971096"/>
  </r>
  <r>
    <s v="P005"/>
    <x v="0"/>
    <x v="0"/>
    <n v="6.5617093055946027E-2"/>
    <n v="3.1682720187833271E-3"/>
    <n v="6.8785365074729349E-2"/>
  </r>
  <r>
    <s v="P006"/>
    <x v="1"/>
    <x v="3"/>
    <n v="0.17954159592529711"/>
    <n v="1.099892588614393E-2"/>
    <n v="0.19054052181144104"/>
  </r>
  <r>
    <s v="P007"/>
    <x v="1"/>
    <x v="3"/>
    <n v="7.0272020725388601E-2"/>
    <n v="3.8112228349010705E-3"/>
    <n v="7.4083243560289669E-2"/>
  </r>
  <r>
    <s v="P008"/>
    <x v="2"/>
    <x v="4"/>
    <n v="0.10340359564080613"/>
    <n v="9.1034289582409369E-4"/>
    <n v="0.10431393853663022"/>
  </r>
  <r>
    <s v="P009"/>
    <x v="2"/>
    <x v="1"/>
    <n v="8.8019732205778717E-2"/>
    <n v="2.3250448147950943E-3"/>
    <n v="9.0344777020573808E-2"/>
  </r>
  <r>
    <s v="P010"/>
    <x v="3"/>
    <x v="4"/>
    <n v="7.198635172059864E-2"/>
    <n v="2.3324673873571888E-3"/>
    <n v="7.4318819107955833E-2"/>
  </r>
  <r>
    <s v="P011"/>
    <x v="0"/>
    <x v="2"/>
    <n v="0.11571269132653061"/>
    <n v="2.6342451874366768E-3"/>
    <n v="0.11834693651396729"/>
  </r>
  <r>
    <s v="P012"/>
    <x v="2"/>
    <x v="0"/>
    <n v="0.12885405960945528"/>
    <n v="9.2681228787746938E-3"/>
    <n v="0.13812218248822997"/>
  </r>
  <r>
    <s v="P013"/>
    <x v="1"/>
    <x v="3"/>
    <n v="7.5868578363072495E-2"/>
    <n v="5.3566394135889485E-3"/>
    <n v="8.1225217776661446E-2"/>
  </r>
  <r>
    <s v="P014"/>
    <x v="2"/>
    <x v="2"/>
    <n v="0.14521452145214522"/>
    <n v="7.8397727945091998E-3"/>
    <n v="0.15305429424665443"/>
  </r>
  <r>
    <s v="P015"/>
    <x v="0"/>
    <x v="5"/>
    <n v="5.941358024691358E-2"/>
    <n v="2.5917814609872095E-4"/>
    <n v="5.9672758393012303E-2"/>
  </r>
  <r>
    <s v="P016"/>
    <x v="3"/>
    <x v="1"/>
    <n v="7.5843713789107758E-2"/>
    <n v="1.5796640944167044E-3"/>
    <n v="7.7423377883524463E-2"/>
  </r>
  <r>
    <s v="P017"/>
    <x v="0"/>
    <x v="1"/>
    <n v="9.4235532537716729E-2"/>
    <n v="2.9953656606759352E-3"/>
    <n v="9.723089819839266E-2"/>
  </r>
  <r>
    <s v="P018"/>
    <x v="0"/>
    <x v="0"/>
    <n v="0.10297222222222223"/>
    <n v="5.3044473603394845E-4"/>
    <n v="0.10350266695825618"/>
  </r>
  <r>
    <s v="P019"/>
    <x v="0"/>
    <x v="5"/>
    <n v="0.10034235916588857"/>
    <n v="6.4922786006933499E-3"/>
    <n v="0.10683463776658192"/>
  </r>
  <r>
    <s v="P020"/>
    <x v="0"/>
    <x v="3"/>
    <n v="6.3809622724794221E-2"/>
    <n v="3.2517787229614597E-4"/>
    <n v="6.4134800597090369E-2"/>
  </r>
  <r>
    <s v="P021"/>
    <x v="1"/>
    <x v="0"/>
    <n v="7.7249552156538517E-2"/>
    <n v="1.1464721807834686E-3"/>
    <n v="7.8396024337321984E-2"/>
  </r>
  <r>
    <s v="P022"/>
    <x v="0"/>
    <x v="1"/>
    <n v="8.0294585987261149E-2"/>
    <n v="5.4036484784463499E-3"/>
    <n v="8.5698234465707498E-2"/>
  </r>
  <r>
    <s v="P023"/>
    <x v="0"/>
    <x v="5"/>
    <n v="7.6867995018679955E-2"/>
    <n v="7.0897403579531131E-3"/>
    <n v="8.3957735376633064E-2"/>
  </r>
  <r>
    <s v="P024"/>
    <x v="0"/>
    <x v="5"/>
    <n v="7.2070332803659209E-2"/>
    <n v="2.4168730766343915E-3"/>
    <n v="7.4487205880293603E-2"/>
  </r>
  <r>
    <s v="P025"/>
    <x v="0"/>
    <x v="3"/>
    <n v="5.9496567505720827E-2"/>
    <n v="4.0214930215268152E-3"/>
    <n v="6.3518060527247636E-2"/>
  </r>
  <r>
    <s v="P026"/>
    <x v="3"/>
    <x v="0"/>
    <n v="8.9730807577268201E-2"/>
    <n v="5.1078457478999735E-3"/>
    <n v="9.4838653325168179E-2"/>
  </r>
  <r>
    <s v="P027"/>
    <x v="2"/>
    <x v="1"/>
    <n v="7.1501685934489398E-2"/>
    <n v="1.5816896166728693E-3"/>
    <n v="7.3083375551162261E-2"/>
  </r>
  <r>
    <s v="P028"/>
    <x v="3"/>
    <x v="5"/>
    <n v="0.17057291666666666"/>
    <n v="1.2621824572615434E-2"/>
    <n v="0.18319474123928209"/>
  </r>
  <r>
    <s v="P029"/>
    <x v="1"/>
    <x v="3"/>
    <n v="0.21208106001558846"/>
    <n v="1.8020221787345074E-2"/>
    <n v="0.23010128180293354"/>
  </r>
  <r>
    <s v="P030"/>
    <x v="0"/>
    <x v="5"/>
    <n v="5.7655717106444085E-2"/>
    <n v="1.6968325791855204E-3"/>
    <n v="5.9352549685629606E-2"/>
  </r>
  <r>
    <s v="P031"/>
    <x v="1"/>
    <x v="1"/>
    <n v="0.28245270711024134"/>
    <n v="0.10440577563865235"/>
    <n v="0.38685848274889367"/>
  </r>
  <r>
    <s v="P032"/>
    <x v="2"/>
    <x v="3"/>
    <n v="0.19088381621305239"/>
    <n v="2.1694540864626063E-2"/>
    <n v="0.21257835707767847"/>
  </r>
  <r>
    <s v="P033"/>
    <x v="3"/>
    <x v="4"/>
    <n v="0.12781331438047855"/>
    <n v="7.0828632317914003E-3"/>
    <n v="0.13489617761226996"/>
  </r>
  <r>
    <s v="P034"/>
    <x v="1"/>
    <x v="1"/>
    <n v="7.055421038471886E-2"/>
    <n v="7.4728024747141219E-3"/>
    <n v="7.8027012859432976E-2"/>
  </r>
  <r>
    <s v="P035"/>
    <x v="2"/>
    <x v="5"/>
    <n v="0.11861662987490802"/>
    <n v="8.1356949864905426E-3"/>
    <n v="0.12675232486139856"/>
  </r>
  <r>
    <s v="P036"/>
    <x v="3"/>
    <x v="2"/>
    <n v="7.6523535487678915E-2"/>
    <n v="4.584374676505819E-4"/>
    <n v="7.6981972955329492E-2"/>
  </r>
  <r>
    <s v="P037"/>
    <x v="0"/>
    <x v="3"/>
    <n v="0.17770337301587302"/>
    <n v="1.5307424100688834E-3"/>
    <n v="0.17923411542594192"/>
  </r>
  <r>
    <s v="P038"/>
    <x v="3"/>
    <x v="0"/>
    <n v="0.12577012959422137"/>
    <n v="3.1578947368421052E-3"/>
    <n v="0.12892802433106348"/>
  </r>
  <r>
    <s v="P039"/>
    <x v="1"/>
    <x v="4"/>
    <n v="7.2126493695121141E-2"/>
    <n v="1.5429251848994583E-3"/>
    <n v="7.3669418880020598E-2"/>
  </r>
  <r>
    <s v="P040"/>
    <x v="0"/>
    <x v="4"/>
    <n v="0.13989473684210527"/>
    <n v="7.9117273497036414E-3"/>
    <n v="0.1478064641918089"/>
  </r>
  <r>
    <s v="P041"/>
    <x v="0"/>
    <x v="0"/>
    <n v="0.18433235867446393"/>
    <n v="2.7789074149383218E-2"/>
    <n v="0.21212143282384716"/>
  </r>
  <r>
    <s v="P042"/>
    <x v="2"/>
    <x v="0"/>
    <n v="0.21840570317563188"/>
    <n v="2.0963813500347948E-2"/>
    <n v="0.23936951667597983"/>
  </r>
  <r>
    <s v="P043"/>
    <x v="0"/>
    <x v="3"/>
    <n v="0.21826126954921804"/>
    <n v="1.1223988202523349E-2"/>
    <n v="0.22948525775174139"/>
  </r>
  <r>
    <s v="P044"/>
    <x v="3"/>
    <x v="4"/>
    <n v="9.8558100084817649E-2"/>
    <n v="6.2654097171863671E-3"/>
    <n v="0.10482350980200401"/>
  </r>
  <r>
    <s v="P045"/>
    <x v="2"/>
    <x v="5"/>
    <n v="7.5229902106199939E-2"/>
    <n v="3.5330014453187732E-3"/>
    <n v="7.8762903551518715E-2"/>
  </r>
  <r>
    <s v="P046"/>
    <x v="0"/>
    <x v="5"/>
    <n v="0.16888537906137185"/>
    <n v="1.113662456946039E-2"/>
    <n v="0.18002200363083223"/>
  </r>
  <r>
    <s v="P047"/>
    <x v="3"/>
    <x v="3"/>
    <n v="0.16683616863905326"/>
    <n v="6.1081185071181227E-3"/>
    <n v="0.17294428714617138"/>
  </r>
  <r>
    <s v="P048"/>
    <x v="1"/>
    <x v="2"/>
    <n v="7.349527665317139E-2"/>
    <n v="3.2807675341861493E-3"/>
    <n v="7.6776044187357534E-2"/>
  </r>
  <r>
    <s v="P049"/>
    <x v="0"/>
    <x v="2"/>
    <n v="0.10617801791554102"/>
    <n v="6.4690618032966635E-3"/>
    <n v="0.11264707971883768"/>
  </r>
  <r>
    <s v="P050"/>
    <x v="3"/>
    <x v="2"/>
    <n v="0.13498547567175018"/>
    <n v="5.2611800075159712E-3"/>
    <n v="0.14024665567926614"/>
  </r>
  <r>
    <s v="P051"/>
    <x v="0"/>
    <x v="3"/>
    <n v="7.8689839572192513E-2"/>
    <n v="6.0912881043911418E-3"/>
    <n v="8.4781127676583662E-2"/>
  </r>
  <r>
    <s v="P052"/>
    <x v="0"/>
    <x v="4"/>
    <n v="0.1569549774407219"/>
    <n v="3.4943473792394654E-3"/>
    <n v="0.16044932481996135"/>
  </r>
  <r>
    <s v="P053"/>
    <x v="1"/>
    <x v="3"/>
    <n v="0.36965174129353234"/>
    <n v="3.4987277353689568E-3"/>
    <n v="0.37315046902890131"/>
  </r>
  <r>
    <s v="P054"/>
    <x v="0"/>
    <x v="3"/>
    <n v="0.16510298716704411"/>
    <n v="2.8617027131143031E-3"/>
    <n v="0.16796468988015842"/>
  </r>
  <r>
    <s v="P055"/>
    <x v="1"/>
    <x v="4"/>
    <n v="9.1897770527460579E-2"/>
    <n v="8.7550715353405945E-3"/>
    <n v="0.10065284206280117"/>
  </r>
  <r>
    <s v="P056"/>
    <x v="3"/>
    <x v="3"/>
    <n v="0.12936184657162253"/>
    <n v="2.1032705857608582E-3"/>
    <n v="0.13146511715738338"/>
  </r>
  <r>
    <s v="P057"/>
    <x v="2"/>
    <x v="5"/>
    <n v="8.0862831858407078E-2"/>
    <n v="3.7774648516953886E-3"/>
    <n v="8.4640296710102467E-2"/>
  </r>
  <r>
    <s v="P058"/>
    <x v="0"/>
    <x v="0"/>
    <n v="0.86601941747572819"/>
    <n v="0.63902439024390245"/>
    <n v="1.5050438077196306"/>
  </r>
  <r>
    <s v="P059"/>
    <x v="0"/>
    <x v="1"/>
    <n v="9.2726081258191345E-2"/>
    <n v="5.7886157224125885E-3"/>
    <n v="9.851469698060393E-2"/>
  </r>
  <r>
    <s v="P060"/>
    <x v="1"/>
    <x v="5"/>
    <n v="0.1650782845473111"/>
    <n v="7.2538860103626944E-3"/>
    <n v="0.1723321705576738"/>
  </r>
  <r>
    <s v="P061"/>
    <x v="3"/>
    <x v="5"/>
    <n v="0.14276618001546368"/>
    <n v="1.5032725086149079E-3"/>
    <n v="0.14426945252407858"/>
  </r>
  <r>
    <s v="P062"/>
    <x v="1"/>
    <x v="3"/>
    <n v="0.53773584905660377"/>
    <n v="21.142857142857142"/>
    <n v="21.680592991913745"/>
  </r>
  <r>
    <s v="P063"/>
    <x v="3"/>
    <x v="3"/>
    <n v="5.2551586421122697E-2"/>
    <n v="1.3952294315277205E-3"/>
    <n v="5.3946815852650418E-2"/>
  </r>
  <r>
    <s v="P064"/>
    <x v="0"/>
    <x v="4"/>
    <n v="8.2047718322909427E-2"/>
    <n v="1.7577987671971312E-3"/>
    <n v="8.3805517090106557E-2"/>
  </r>
  <r>
    <s v="P065"/>
    <x v="3"/>
    <x v="2"/>
    <n v="0.11990720603160794"/>
    <n v="1.4459398609095913E-2"/>
    <n v="0.13436660464070385"/>
  </r>
  <r>
    <s v="P066"/>
    <x v="3"/>
    <x v="3"/>
    <n v="0.29199735449735448"/>
    <n v="8.0525164113785561E-2"/>
    <n v="0.37252251861114005"/>
  </r>
  <r>
    <s v="P067"/>
    <x v="1"/>
    <x v="3"/>
    <n v="6.3749764195434822E-2"/>
    <n v="1.1807630090564522E-3"/>
    <n v="6.4930527204491273E-2"/>
  </r>
  <r>
    <s v="P068"/>
    <x v="3"/>
    <x v="2"/>
    <n v="0.19310344827586207"/>
    <n v="4.8200726312314299E-3"/>
    <n v="0.1979235209070935"/>
  </r>
  <r>
    <s v="P069"/>
    <x v="3"/>
    <x v="1"/>
    <n v="9.3421052631578946E-2"/>
    <n v="5.9800931128592069E-3"/>
    <n v="9.9401145744438146E-2"/>
  </r>
  <r>
    <s v="P070"/>
    <x v="1"/>
    <x v="5"/>
    <n v="0.38274706867671693"/>
    <n v="1.4390896921017403E-2"/>
    <n v="0.39713796559773434"/>
  </r>
  <r>
    <s v="P071"/>
    <x v="1"/>
    <x v="3"/>
    <n v="0.1199202926956749"/>
    <n v="7.4769433465085638E-3"/>
    <n v="0.12739723604218348"/>
  </r>
  <r>
    <s v="P072"/>
    <x v="0"/>
    <x v="0"/>
    <n v="8.837126600284495E-2"/>
    <n v="1.6797098682954762E-2"/>
    <n v="0.10516836468579971"/>
  </r>
  <r>
    <s v="P073"/>
    <x v="1"/>
    <x v="2"/>
    <n v="6.4265122330790625E-2"/>
    <n v="1.1311344764646906E-3"/>
    <n v="6.5396256807255318E-2"/>
  </r>
  <r>
    <s v="P074"/>
    <x v="1"/>
    <x v="0"/>
    <n v="0.13351302785265048"/>
    <n v="7.5321494182486225E-3"/>
    <n v="0.1410451772708991"/>
  </r>
  <r>
    <s v="P075"/>
    <x v="0"/>
    <x v="0"/>
    <n v="0.12131237937689551"/>
    <n v="1.2144013715591961E-2"/>
    <n v="0.13345639309248747"/>
  </r>
  <r>
    <s v="P076"/>
    <x v="2"/>
    <x v="2"/>
    <n v="8.1177520071364848E-2"/>
    <n v="6.6189743932606807E-3"/>
    <n v="8.7796494464625535E-2"/>
  </r>
  <r>
    <s v="P077"/>
    <x v="3"/>
    <x v="2"/>
    <n v="0.20416333066453163"/>
    <n v="7.3787772312016867E-3"/>
    <n v="0.21154210789573333"/>
  </r>
  <r>
    <s v="P078"/>
    <x v="1"/>
    <x v="4"/>
    <n v="8.2075471698113203E-2"/>
    <n v="1.1135266981282146E-3"/>
    <n v="8.3188998396241415E-2"/>
  </r>
  <r>
    <s v="P079"/>
    <x v="1"/>
    <x v="3"/>
    <n v="8.860696018453515E-2"/>
    <n v="6.7505836970865899E-3"/>
    <n v="9.5357543881621737E-2"/>
  </r>
  <r>
    <s v="P080"/>
    <x v="1"/>
    <x v="2"/>
    <n v="7.7533348349475686E-2"/>
    <n v="7.0947144377438804E-4"/>
    <n v="7.8242819793250068E-2"/>
  </r>
  <r>
    <s v="P081"/>
    <x v="2"/>
    <x v="2"/>
    <n v="9.4413295955146179E-2"/>
    <n v="1.4692139964697332E-2"/>
    <n v="0.10910543591984351"/>
  </r>
  <r>
    <s v="P082"/>
    <x v="0"/>
    <x v="4"/>
    <n v="8.558620689655172E-2"/>
    <n v="1.4665982254161472E-2"/>
    <n v="0.1002521891507132"/>
  </r>
  <r>
    <s v="P083"/>
    <x v="2"/>
    <x v="5"/>
    <n v="0.16118220597196831"/>
    <n v="1.1655739410968884E-2"/>
    <n v="0.1728379453829372"/>
  </r>
  <r>
    <s v="P084"/>
    <x v="1"/>
    <x v="4"/>
    <n v="8.6737756939878216E-2"/>
    <n v="7.466182584763132E-3"/>
    <n v="9.4203939524641345E-2"/>
  </r>
  <r>
    <s v="P085"/>
    <x v="3"/>
    <x v="4"/>
    <n v="0.19156491900087783"/>
    <n v="9.2566507022980634E-3"/>
    <n v="0.20082156970317588"/>
  </r>
  <r>
    <s v="P086"/>
    <x v="3"/>
    <x v="1"/>
    <n v="6.5515821264328367E-2"/>
    <n v="4.1686763591263004E-3"/>
    <n v="6.9684497623454661E-2"/>
  </r>
  <r>
    <s v="P087"/>
    <x v="3"/>
    <x v="5"/>
    <n v="0.20868152274837512"/>
    <n v="1.5510589717345091E-2"/>
    <n v="0.22419211246572021"/>
  </r>
  <r>
    <s v="P088"/>
    <x v="3"/>
    <x v="2"/>
    <n v="0.13576158940397351"/>
    <n v="5.1124744376278121E-3"/>
    <n v="0.14087406384160131"/>
  </r>
  <r>
    <s v="P089"/>
    <x v="1"/>
    <x v="4"/>
    <n v="0.16873144921925409"/>
    <n v="1.2162162162162163E-2"/>
    <n v="0.18089361138141624"/>
  </r>
  <r>
    <s v="P090"/>
    <x v="2"/>
    <x v="4"/>
    <n v="7.0822181933293038E-2"/>
    <n v="4.3157940625136232E-3"/>
    <n v="7.5137975995806655E-2"/>
  </r>
  <r>
    <s v="P091"/>
    <x v="2"/>
    <x v="4"/>
    <n v="7.984956452889945E-2"/>
    <n v="5.5657119642494417E-3"/>
    <n v="8.5415276493148895E-2"/>
  </r>
  <r>
    <s v="P092"/>
    <x v="0"/>
    <x v="2"/>
    <n v="0.13599052880820836"/>
    <n v="6.272425249169435E-3"/>
    <n v="0.14226295405737779"/>
  </r>
  <r>
    <s v="P093"/>
    <x v="0"/>
    <x v="5"/>
    <n v="0.28045655718611695"/>
    <n v="1.7865650309671272E-2"/>
    <n v="0.29832220749578819"/>
  </r>
  <r>
    <s v="P094"/>
    <x v="3"/>
    <x v="4"/>
    <n v="0.16843866371633656"/>
    <n v="2.5783308110531923E-3"/>
    <n v="0.17101699452738975"/>
  </r>
  <r>
    <s v="P095"/>
    <x v="0"/>
    <x v="1"/>
    <n v="6.8108806480899509E-2"/>
    <n v="2.8651784144840919E-3"/>
    <n v="7.0973984895383604E-2"/>
  </r>
  <r>
    <s v="P096"/>
    <x v="1"/>
    <x v="4"/>
    <n v="0.10339256865912763"/>
    <n v="6.3618495913934005E-3"/>
    <n v="0.10975441825052103"/>
  </r>
  <r>
    <s v="P097"/>
    <x v="1"/>
    <x v="4"/>
    <n v="8.7668609086629767E-2"/>
    <n v="5.8695971173756381E-4"/>
    <n v="8.8255568798367337E-2"/>
  </r>
  <r>
    <s v="P098"/>
    <x v="1"/>
    <x v="2"/>
    <n v="0.11238095238095239"/>
    <n v="6.847659711592685E-4"/>
    <n v="0.11306571835211165"/>
  </r>
  <r>
    <s v="P099"/>
    <x v="1"/>
    <x v="3"/>
    <n v="7.2000119875329657E-2"/>
    <n v="2.5962721733649489E-3"/>
    <n v="7.4596392048694601E-2"/>
  </r>
  <r>
    <s v="P100"/>
    <x v="1"/>
    <x v="5"/>
    <n v="9.2298980747451867E-2"/>
    <n v="2.1370155755558295E-3"/>
    <n v="9.4435996323007698E-2"/>
  </r>
  <r>
    <s v="P101"/>
    <x v="0"/>
    <x v="5"/>
    <n v="7.3707865168539333E-2"/>
    <n v="1.5998293515358361E-4"/>
    <n v="7.3867848103692915E-2"/>
  </r>
  <r>
    <s v="P102"/>
    <x v="1"/>
    <x v="0"/>
    <n v="0.35666666666666669"/>
    <n v="4.2712124114154378E-2"/>
    <n v="0.39937879078082106"/>
  </r>
  <r>
    <s v="P103"/>
    <x v="3"/>
    <x v="4"/>
    <n v="9.9632815002833983E-2"/>
    <n v="5.3551581287258768E-3"/>
    <n v="0.10498797313155986"/>
  </r>
  <r>
    <s v="P104"/>
    <x v="3"/>
    <x v="2"/>
    <n v="0.13707250341997265"/>
    <n v="6.215836326721849E-3"/>
    <n v="0.1432883397466945"/>
  </r>
  <r>
    <s v="P105"/>
    <x v="2"/>
    <x v="3"/>
    <n v="0.12896028558679162"/>
    <n v="8.774335069920482E-3"/>
    <n v="0.1377346206567121"/>
  </r>
  <r>
    <s v="P106"/>
    <x v="0"/>
    <x v="4"/>
    <n v="8.5718409468138843E-2"/>
    <n v="4.3100331207243173E-3"/>
    <n v="9.0028442588863167E-2"/>
  </r>
  <r>
    <s v="P107"/>
    <x v="1"/>
    <x v="4"/>
    <n v="6.2467323109097243E-2"/>
    <n v="1.9935155976165439E-3"/>
    <n v="6.4460838706713791E-2"/>
  </r>
  <r>
    <s v="P108"/>
    <x v="1"/>
    <x v="5"/>
    <n v="0.10005698005698006"/>
    <n v="4.0382571732199791E-3"/>
    <n v="0.10409523723020005"/>
  </r>
  <r>
    <s v="P109"/>
    <x v="3"/>
    <x v="2"/>
    <n v="0.16744313510550835"/>
    <n v="6.689901053559268E-3"/>
    <n v="0.17413303615906761"/>
  </r>
  <r>
    <s v="P110"/>
    <x v="2"/>
    <x v="0"/>
    <n v="0.12277759141227776"/>
    <n v="6.9986261955986414E-3"/>
    <n v="0.12977621760787639"/>
  </r>
  <r>
    <s v="P111"/>
    <x v="2"/>
    <x v="4"/>
    <n v="7.4071349760941527E-2"/>
    <n v="9.9302400635535365E-4"/>
    <n v="7.5064373767296882E-2"/>
  </r>
  <r>
    <s v="P112"/>
    <x v="0"/>
    <x v="2"/>
    <n v="0.17441662408448305"/>
    <n v="1.7610435813815595E-2"/>
    <n v="0.19202705989829866"/>
  </r>
  <r>
    <s v="P113"/>
    <x v="0"/>
    <x v="3"/>
    <n v="0.11369088028965829"/>
    <n v="2.2945252627231425E-4"/>
    <n v="0.1139203328159306"/>
  </r>
  <r>
    <s v="P114"/>
    <x v="2"/>
    <x v="2"/>
    <n v="0.12942500000000001"/>
    <n v="1.1119816017589527E-3"/>
    <n v="0.13053698160175897"/>
  </r>
  <r>
    <s v="P115"/>
    <x v="1"/>
    <x v="4"/>
    <n v="6.2150491965739366E-2"/>
    <n v="5.76313972041628E-3"/>
    <n v="6.7913631686155648E-2"/>
  </r>
  <r>
    <s v="P116"/>
    <x v="0"/>
    <x v="0"/>
    <n v="0.16769515581610614"/>
    <n v="5.2230772297755272E-3"/>
    <n v="0.17291823304588166"/>
  </r>
  <r>
    <s v="P117"/>
    <x v="3"/>
    <x v="4"/>
    <n v="0.11792317271769326"/>
    <n v="1.0846953937592867E-2"/>
    <n v="0.12877012665528612"/>
  </r>
  <r>
    <s v="P118"/>
    <x v="1"/>
    <x v="4"/>
    <n v="8.0158206987475278E-2"/>
    <n v="8.4127874369040938E-4"/>
    <n v="8.0999485731165694E-2"/>
  </r>
  <r>
    <s v="P119"/>
    <x v="3"/>
    <x v="0"/>
    <n v="0.31705583756345179"/>
    <n v="1.3110712684894665E-2"/>
    <n v="0.33016655024834646"/>
  </r>
  <r>
    <s v="P120"/>
    <x v="0"/>
    <x v="2"/>
    <n v="0.23414918414918415"/>
    <n v="1.1260982551664397E-2"/>
    <n v="0.24541016670084853"/>
  </r>
  <r>
    <s v="P121"/>
    <x v="3"/>
    <x v="2"/>
    <n v="0.32349397590361445"/>
    <n v="4.4205495818399047E-2"/>
    <n v="0.3676994717220135"/>
  </r>
  <r>
    <s v="P122"/>
    <x v="3"/>
    <x v="1"/>
    <n v="8.0565268065268064E-2"/>
    <n v="4.8965056754952151E-3"/>
    <n v="8.5461773740763275E-2"/>
  </r>
  <r>
    <s v="P123"/>
    <x v="3"/>
    <x v="2"/>
    <n v="0.23616777446710979"/>
    <n v="7.3087845072389553E-3"/>
    <n v="0.24347655897434875"/>
  </r>
  <r>
    <s v="P124"/>
    <x v="2"/>
    <x v="3"/>
    <n v="0.33618012422360249"/>
    <n v="4.0373990650233744E-3"/>
    <n v="0.34021752328862587"/>
  </r>
  <r>
    <s v="P125"/>
    <x v="0"/>
    <x v="3"/>
    <n v="0.14265722032712325"/>
    <n v="6.8352499413283268E-3"/>
    <n v="0.14949247026845158"/>
  </r>
  <r>
    <s v="P126"/>
    <x v="1"/>
    <x v="3"/>
    <n v="9.9829463465827106E-2"/>
    <n v="3.1427749374764846E-3"/>
    <n v="0.10297223840330359"/>
  </r>
  <r>
    <s v="P127"/>
    <x v="2"/>
    <x v="0"/>
    <n v="6.9311459413307311E-2"/>
    <n v="2.4289381850604928E-3"/>
    <n v="7.1740397598367797E-2"/>
  </r>
  <r>
    <s v="P128"/>
    <x v="3"/>
    <x v="4"/>
    <n v="0.12537731780940059"/>
    <n v="3.7476577139287947E-3"/>
    <n v="0.12912497552332938"/>
  </r>
  <r>
    <s v="P129"/>
    <x v="3"/>
    <x v="1"/>
    <n v="0.17291569632044715"/>
    <n v="1.0313656494570164E-2"/>
    <n v="0.18322935281501732"/>
  </r>
  <r>
    <s v="P130"/>
    <x v="2"/>
    <x v="0"/>
    <n v="8.9577656675749323E-2"/>
    <n v="5.8555801016741641E-4"/>
    <n v="9.0163214685916745E-2"/>
  </r>
  <r>
    <s v="P131"/>
    <x v="0"/>
    <x v="0"/>
    <n v="0.13106060606060607"/>
    <n v="1.3186813186813187E-3"/>
    <n v="0.13237928737928739"/>
  </r>
  <r>
    <s v="P132"/>
    <x v="3"/>
    <x v="2"/>
    <n v="0.13493953401503478"/>
    <n v="8.8710831306338528E-3"/>
    <n v="0.14381061714566862"/>
  </r>
  <r>
    <s v="P133"/>
    <x v="0"/>
    <x v="4"/>
    <n v="7.172350922350923E-2"/>
    <n v="6.8555132037184305E-4"/>
    <n v="7.2409060543881076E-2"/>
  </r>
  <r>
    <s v="P134"/>
    <x v="3"/>
    <x v="0"/>
    <n v="7.1133744304476013E-2"/>
    <n v="1.8579984125838805E-3"/>
    <n v="7.2991742717059896E-2"/>
  </r>
  <r>
    <s v="P135"/>
    <x v="2"/>
    <x v="1"/>
    <n v="6.461481657304112E-2"/>
    <n v="3.6056577011280935E-3"/>
    <n v="6.8220474274169218E-2"/>
  </r>
  <r>
    <s v="P136"/>
    <x v="0"/>
    <x v="1"/>
    <n v="0.20357370772176134"/>
    <n v="6.0927028167033787E-3"/>
    <n v="0.20966641053846471"/>
  </r>
  <r>
    <s v="P137"/>
    <x v="3"/>
    <x v="5"/>
    <n v="0.20871010638297871"/>
    <n v="1.8922057517589998E-2"/>
    <n v="0.2276321639005687"/>
  </r>
  <r>
    <s v="P138"/>
    <x v="0"/>
    <x v="4"/>
    <n v="0.16065573770491803"/>
    <n v="6.3174946004319651E-2"/>
    <n v="0.2238306837092377"/>
  </r>
  <r>
    <s v="P139"/>
    <x v="1"/>
    <x v="1"/>
    <n v="9.422796795338674E-2"/>
    <n v="4.5727439574454846E-3"/>
    <n v="9.8800711910832228E-2"/>
  </r>
  <r>
    <s v="P140"/>
    <x v="0"/>
    <x v="4"/>
    <n v="0.15571802706241816"/>
    <n v="5.52455665432849E-4"/>
    <n v="0.15627048272785102"/>
  </r>
  <r>
    <s v="P141"/>
    <x v="0"/>
    <x v="4"/>
    <n v="0.2316508937960042"/>
    <n v="1.2931731235519155E-2"/>
    <n v="0.24458262503152337"/>
  </r>
  <r>
    <s v="P142"/>
    <x v="1"/>
    <x v="2"/>
    <n v="6.9438087973557078E-2"/>
    <n v="2.9513034923757992E-3"/>
    <n v="7.2389391465932873E-2"/>
  </r>
  <r>
    <s v="P143"/>
    <x v="2"/>
    <x v="3"/>
    <n v="0.50192307692307692"/>
    <n v="0.33524355300859598"/>
    <n v="0.8371666299316729"/>
  </r>
  <r>
    <s v="P144"/>
    <x v="1"/>
    <x v="2"/>
    <n v="6.5455787978772245E-2"/>
    <n v="7.1113026613511474E-4"/>
    <n v="6.6166918244907363E-2"/>
  </r>
  <r>
    <s v="P145"/>
    <x v="1"/>
    <x v="3"/>
    <n v="5.6416400425985093E-2"/>
    <n v="3.8509518902207517E-3"/>
    <n v="6.0267352316205842E-2"/>
  </r>
  <r>
    <s v="P146"/>
    <x v="0"/>
    <x v="0"/>
    <n v="0.21636759108210984"/>
    <n v="1.1188811188811189E-2"/>
    <n v="0.22755640227092103"/>
  </r>
  <r>
    <s v="P147"/>
    <x v="1"/>
    <x v="0"/>
    <n v="0.15283323095823095"/>
    <n v="5.6014728348153077E-3"/>
    <n v="0.15843470379304625"/>
  </r>
  <r>
    <s v="P148"/>
    <x v="0"/>
    <x v="5"/>
    <n v="0.19864505202032423"/>
    <n v="7.1486596263200652E-3"/>
    <n v="0.20579371164664428"/>
  </r>
  <r>
    <s v="P149"/>
    <x v="3"/>
    <x v="5"/>
    <n v="7.7291421856639245E-2"/>
    <n v="2.2909507445589921E-3"/>
    <n v="7.9582372601198242E-2"/>
  </r>
  <r>
    <s v="P150"/>
    <x v="1"/>
    <x v="3"/>
    <n v="6.3713620488940623E-2"/>
    <n v="3.3804261668298596E-3"/>
    <n v="6.7094046655770484E-2"/>
  </r>
  <r>
    <s v="P151"/>
    <x v="0"/>
    <x v="4"/>
    <n v="0.10977802753582468"/>
    <n v="3.4752884204529268E-3"/>
    <n v="0.11325331595627761"/>
  </r>
  <r>
    <s v="P152"/>
    <x v="3"/>
    <x v="4"/>
    <n v="0.19511518179295032"/>
    <n v="1.6566795911173776E-3"/>
    <n v="0.19677186138406769"/>
  </r>
  <r>
    <s v="P153"/>
    <x v="2"/>
    <x v="5"/>
    <n v="0.17801355732390214"/>
    <n v="3.4078122488345929E-2"/>
    <n v="0.21209167981224808"/>
  </r>
  <r>
    <s v="P154"/>
    <x v="1"/>
    <x v="3"/>
    <n v="0.31965192168237855"/>
    <n v="9.4716590202752696E-3"/>
    <n v="0.3291235807026538"/>
  </r>
  <r>
    <s v="P155"/>
    <x v="0"/>
    <x v="4"/>
    <n v="0.11489268506351293"/>
    <n v="6.3226776318698321E-3"/>
    <n v="0.12121536269538276"/>
  </r>
  <r>
    <s v="P156"/>
    <x v="1"/>
    <x v="3"/>
    <n v="0.1095786671562328"/>
    <n v="5.5378651529835246E-3"/>
    <n v="0.11511653230921631"/>
  </r>
  <r>
    <s v="P157"/>
    <x v="1"/>
    <x v="2"/>
    <n v="0.10793717277486911"/>
    <n v="3.9331987211845866E-3"/>
    <n v="0.11187037149605369"/>
  </r>
  <r>
    <s v="P158"/>
    <x v="2"/>
    <x v="2"/>
    <n v="0.11307081114118571"/>
    <n v="1.1402508551881414E-3"/>
    <n v="0.11421106199637385"/>
  </r>
  <r>
    <s v="P159"/>
    <x v="1"/>
    <x v="2"/>
    <n v="0.21745283018867925"/>
    <n v="1.4067025237898222E-3"/>
    <n v="0.21885953271246908"/>
  </r>
  <r>
    <s v="P160"/>
    <x v="0"/>
    <x v="5"/>
    <n v="9.1137810638734856E-2"/>
    <n v="1.0721561059290233E-3"/>
    <n v="9.2209966744663877E-2"/>
  </r>
  <r>
    <s v="P161"/>
    <x v="3"/>
    <x v="1"/>
    <n v="0.11508145034156594"/>
    <n v="4.8452486898052016E-3"/>
    <n v="0.11992669903137114"/>
  </r>
  <r>
    <s v="P162"/>
    <x v="3"/>
    <x v="2"/>
    <n v="8.6630570595585168E-2"/>
    <n v="2.5367297325864075E-3"/>
    <n v="8.9167300328171578E-2"/>
  </r>
  <r>
    <s v="P163"/>
    <x v="0"/>
    <x v="4"/>
    <n v="0.23101532992668297"/>
    <n v="6.045063198387983E-3"/>
    <n v="0.23706039312507096"/>
  </r>
  <r>
    <s v="P164"/>
    <x v="1"/>
    <x v="1"/>
    <n v="0.15355188488042157"/>
    <n v="4.3305573350416399E-3"/>
    <n v="0.15788244221546321"/>
  </r>
  <r>
    <s v="P165"/>
    <x v="0"/>
    <x v="1"/>
    <n v="0.15405989502933004"/>
    <n v="1.0373911866853096E-2"/>
    <n v="0.16443380689618314"/>
  </r>
  <r>
    <s v="P166"/>
    <x v="3"/>
    <x v="0"/>
    <n v="0.14320716458262928"/>
    <n v="8.9686098654708519E-3"/>
    <n v="0.15217577444810013"/>
  </r>
  <r>
    <s v="P167"/>
    <x v="2"/>
    <x v="1"/>
    <n v="9.859917557465242E-2"/>
    <n v="2.6606122955762888E-3"/>
    <n v="0.10125978787022871"/>
  </r>
  <r>
    <s v="P168"/>
    <x v="1"/>
    <x v="1"/>
    <n v="7.412002573292896E-2"/>
    <n v="4.2580071590669821E-3"/>
    <n v="7.8378032891995936E-2"/>
  </r>
  <r>
    <s v="P169"/>
    <x v="0"/>
    <x v="5"/>
    <n v="0.12490884163239112"/>
    <n v="2.4750998986103655E-3"/>
    <n v="0.12738394153100149"/>
  </r>
  <r>
    <s v="P170"/>
    <x v="1"/>
    <x v="1"/>
    <n v="6.8655003457763777E-2"/>
    <n v="7.8126151623697287E-4"/>
    <n v="6.9436264974000753E-2"/>
  </r>
  <r>
    <s v="P171"/>
    <x v="2"/>
    <x v="5"/>
    <n v="9.8068107400130972E-2"/>
    <n v="2.0920502092050207E-3"/>
    <n v="0.100160157609336"/>
  </r>
  <r>
    <s v="P172"/>
    <x v="2"/>
    <x v="3"/>
    <n v="7.2739802071170159E-2"/>
    <n v="4.7669799438038946E-3"/>
    <n v="7.750678201497406E-2"/>
  </r>
  <r>
    <s v="P173"/>
    <x v="1"/>
    <x v="5"/>
    <n v="0.14348370927318296"/>
    <n v="1.4890435008778204E-2"/>
    <n v="0.15837414428196117"/>
  </r>
  <r>
    <s v="P174"/>
    <x v="0"/>
    <x v="1"/>
    <n v="0.13809430512016718"/>
    <n v="7.7739918621191574E-3"/>
    <n v="0.14586829698228634"/>
  </r>
  <r>
    <s v="P175"/>
    <x v="0"/>
    <x v="0"/>
    <n v="0.6508215962441315"/>
    <n v="0.15477386934673368"/>
    <n v="0.80559546559086515"/>
  </r>
  <r>
    <s v="P176"/>
    <x v="3"/>
    <x v="5"/>
    <n v="5.4081095313322801E-2"/>
    <n v="3.5086330840357195E-3"/>
    <n v="5.7589728397358521E-2"/>
  </r>
  <r>
    <s v="P177"/>
    <x v="2"/>
    <x v="3"/>
    <n v="9.1365878393951966E-2"/>
    <n v="1.2115281563803266E-3"/>
    <n v="9.2577406550332295E-2"/>
  </r>
  <r>
    <s v="P178"/>
    <x v="1"/>
    <x v="5"/>
    <n v="0.70387596899224802"/>
    <n v="0.28367103694874851"/>
    <n v="0.98754700594099654"/>
  </r>
  <r>
    <s v="P179"/>
    <x v="0"/>
    <x v="3"/>
    <n v="7.5280481001673588E-2"/>
    <n v="4.5948072383949646E-3"/>
    <n v="7.9875288240068551E-2"/>
  </r>
  <r>
    <s v="P180"/>
    <x v="2"/>
    <x v="1"/>
    <n v="9.023070704558174E-2"/>
    <n v="2.3119443451943085E-4"/>
    <n v="9.0461901480101164E-2"/>
  </r>
  <r>
    <s v="P181"/>
    <x v="3"/>
    <x v="4"/>
    <n v="0.23673521198273673"/>
    <n v="3.2345378264988497E-2"/>
    <n v="0.26908059024772524"/>
  </r>
  <r>
    <s v="P182"/>
    <x v="0"/>
    <x v="4"/>
    <n v="0.10132030477519921"/>
    <n v="3.3972193857513158E-3"/>
    <n v="0.10471752416095052"/>
  </r>
  <r>
    <s v="P183"/>
    <x v="1"/>
    <x v="2"/>
    <n v="0.28696581196581195"/>
    <n v="4.8125867653863952E-2"/>
    <n v="0.3350916796196759"/>
  </r>
  <r>
    <s v="P184"/>
    <x v="1"/>
    <x v="4"/>
    <n v="0.13614307931570763"/>
    <n v="7.9926124060629225E-3"/>
    <n v="0.14413569172177054"/>
  </r>
  <r>
    <s v="P185"/>
    <x v="1"/>
    <x v="3"/>
    <n v="9.5290736237010829E-2"/>
    <n v="1.4393156155608263E-3"/>
    <n v="9.673005185257165E-2"/>
  </r>
  <r>
    <s v="P186"/>
    <x v="2"/>
    <x v="3"/>
    <n v="8.4862714173059003E-2"/>
    <n v="4.815233648269069E-3"/>
    <n v="8.9677947821328069E-2"/>
  </r>
  <r>
    <s v="P187"/>
    <x v="2"/>
    <x v="0"/>
    <n v="8.3726921425504502E-2"/>
    <n v="1.103590347263096E-2"/>
    <n v="9.4762824898135464E-2"/>
  </r>
  <r>
    <s v="P188"/>
    <x v="2"/>
    <x v="0"/>
    <n v="8.4946236559139784E-2"/>
    <n v="3.3565268522148177E-3"/>
    <n v="8.8302763411354596E-2"/>
  </r>
  <r>
    <s v="P189"/>
    <x v="0"/>
    <x v="0"/>
    <n v="7.2503306878306875E-2"/>
    <n v="3.2209360845495724E-3"/>
    <n v="7.5724242962856445E-2"/>
  </r>
  <r>
    <s v="P190"/>
    <x v="2"/>
    <x v="1"/>
    <n v="5.5909322465613857E-2"/>
    <n v="3.7399086946429032E-3"/>
    <n v="5.9649231160256763E-2"/>
  </r>
  <r>
    <s v="P191"/>
    <x v="3"/>
    <x v="2"/>
    <n v="9.9578134817341346E-2"/>
    <n v="9.1799265605875156E-4"/>
    <n v="0.1004961274734001"/>
  </r>
  <r>
    <s v="P192"/>
    <x v="0"/>
    <x v="5"/>
    <n v="0.1441326530612245"/>
    <n v="2.0017662643508977E-2"/>
    <n v="0.16415031570473348"/>
  </r>
  <r>
    <s v="P193"/>
    <x v="1"/>
    <x v="4"/>
    <n v="9.9255211647142488E-2"/>
    <n v="4.2325431320819175E-3"/>
    <n v="0.10348775477922441"/>
  </r>
  <r>
    <s v="P194"/>
    <x v="0"/>
    <x v="2"/>
    <n v="8.4203612479474554E-2"/>
    <n v="3.2182466332189067E-3"/>
    <n v="8.7421859112693456E-2"/>
  </r>
  <r>
    <s v="P195"/>
    <x v="1"/>
    <x v="3"/>
    <n v="0.13667732704931829"/>
    <n v="2.4521739130434782E-2"/>
    <n v="0.16119906617975308"/>
  </r>
  <r>
    <s v="P196"/>
    <x v="3"/>
    <x v="1"/>
    <n v="0.12575841147269717"/>
    <n v="4.4833588269423495E-3"/>
    <n v="0.13024177029963951"/>
  </r>
  <r>
    <s v="P197"/>
    <x v="3"/>
    <x v="0"/>
    <n v="6.4884520656164318E-2"/>
    <n v="2.2264146521520055E-4"/>
    <n v="6.5107162121379514E-2"/>
  </r>
  <r>
    <s v="P198"/>
    <x v="2"/>
    <x v="4"/>
    <n v="0.19847328244274809"/>
    <n v="1.7788786309389779E-2"/>
    <n v="0.21626206875213788"/>
  </r>
  <r>
    <s v="P199"/>
    <x v="1"/>
    <x v="3"/>
    <n v="8.5520696919660646E-2"/>
    <n v="7.9861611647686313E-3"/>
    <n v="9.3506858084429281E-2"/>
  </r>
  <r>
    <s v="P200"/>
    <x v="0"/>
    <x v="0"/>
    <n v="6.246991874522239E-2"/>
    <n v="3.3405496853001477E-3"/>
    <n v="6.5810468430522531E-2"/>
  </r>
  <r>
    <s v="P201"/>
    <x v="0"/>
    <x v="0"/>
    <n v="9.0606816292601824E-2"/>
    <n v="3.4313725490196078E-3"/>
    <n v="9.4038188841621434E-2"/>
  </r>
  <r>
    <s v="P202"/>
    <x v="0"/>
    <x v="4"/>
    <n v="8.2108498129342594E-2"/>
    <n v="9.7376251014335957E-3"/>
    <n v="9.1846123230776192E-2"/>
  </r>
  <r>
    <s v="P203"/>
    <x v="2"/>
    <x v="3"/>
    <n v="5.7332570758993957E-2"/>
    <n v="4.0029672344535109E-3"/>
    <n v="6.1335537993447466E-2"/>
  </r>
  <r>
    <s v="P204"/>
    <x v="2"/>
    <x v="3"/>
    <n v="0.29713518352730528"/>
    <n v="1.8734033494181096E-2"/>
    <n v="0.3158692170214864"/>
  </r>
  <r>
    <s v="P205"/>
    <x v="3"/>
    <x v="5"/>
    <n v="0.1043848167539267"/>
    <n v="3.747452389822708E-3"/>
    <n v="0.10813226914374942"/>
  </r>
  <r>
    <s v="P206"/>
    <x v="2"/>
    <x v="1"/>
    <n v="0.10768685795253277"/>
    <n v="6.2870356988004045E-3"/>
    <n v="0.11397389365133317"/>
  </r>
  <r>
    <s v="P207"/>
    <x v="0"/>
    <x v="3"/>
    <n v="0.14316214319138981"/>
    <n v="3.8569634634933922E-3"/>
    <n v="0.14701910665488321"/>
  </r>
  <r>
    <s v="P208"/>
    <x v="0"/>
    <x v="5"/>
    <n v="8.6537809426924378E-2"/>
    <n v="3.0888914311863629E-3"/>
    <n v="8.9626700858110739E-2"/>
  </r>
  <r>
    <s v="P209"/>
    <x v="1"/>
    <x v="5"/>
    <n v="8.2753164556962022E-2"/>
    <n v="1.1221545367104842E-3"/>
    <n v="8.3875319093672504E-2"/>
  </r>
  <r>
    <s v="P210"/>
    <x v="1"/>
    <x v="4"/>
    <n v="0.48518407662376534"/>
    <n v="0.10424990918997458"/>
    <n v="0.58943398581373996"/>
  </r>
  <r>
    <s v="P211"/>
    <x v="2"/>
    <x v="3"/>
    <n v="0.18632075471698112"/>
    <n v="1.6714422158548234E-3"/>
    <n v="0.18799219693283595"/>
  </r>
  <r>
    <s v="P212"/>
    <x v="0"/>
    <x v="5"/>
    <n v="0.123309241094476"/>
    <n v="5.6806391367503631E-3"/>
    <n v="0.12898988023122637"/>
  </r>
  <r>
    <s v="P213"/>
    <x v="1"/>
    <x v="3"/>
    <n v="8.21914819340199E-2"/>
    <n v="5.434782608695652E-3"/>
    <n v="8.7626264542715548E-2"/>
  </r>
  <r>
    <s v="P214"/>
    <x v="3"/>
    <x v="4"/>
    <n v="0.37955854126679461"/>
    <n v="8.2965578111209179E-2"/>
    <n v="0.46252411937800381"/>
  </r>
  <r>
    <s v="P215"/>
    <x v="3"/>
    <x v="4"/>
    <n v="7.2116777745580993E-2"/>
    <n v="1.078225894382322E-3"/>
    <n v="7.3195003639963313E-2"/>
  </r>
  <r>
    <s v="P216"/>
    <x v="1"/>
    <x v="2"/>
    <n v="5.8316766070245198E-2"/>
    <n v="4.0082185321162721E-3"/>
    <n v="6.2324984602361466E-2"/>
  </r>
  <r>
    <s v="P217"/>
    <x v="3"/>
    <x v="4"/>
    <n v="6.2603126356925748E-2"/>
    <n v="6.1242344706911639E-4"/>
    <n v="6.3215549803994867E-2"/>
  </r>
  <r>
    <s v="P218"/>
    <x v="0"/>
    <x v="3"/>
    <n v="0.18806848582129482"/>
    <n v="1.9218673562093787E-2"/>
    <n v="0.2072871593833886"/>
  </r>
  <r>
    <s v="P219"/>
    <x v="1"/>
    <x v="0"/>
    <n v="0.25701459034792368"/>
    <n v="4.3938161106590726E-2"/>
    <n v="0.30095275145451439"/>
  </r>
  <r>
    <s v="P220"/>
    <x v="1"/>
    <x v="2"/>
    <n v="1.8129251700680271"/>
    <n v="1.5"/>
    <n v="3.3129251700680271"/>
  </r>
  <r>
    <s v="P221"/>
    <x v="0"/>
    <x v="5"/>
    <n v="0.15989220750056141"/>
    <n v="7.5249468346147549E-4"/>
    <n v="0.16064470218402288"/>
  </r>
  <r>
    <s v="P222"/>
    <x v="3"/>
    <x v="0"/>
    <n v="0.11143487163332809"/>
    <n v="1.5423554536106937E-3"/>
    <n v="0.11297722708693879"/>
  </r>
  <r>
    <s v="P223"/>
    <x v="3"/>
    <x v="4"/>
    <n v="6.2129685107516146E-2"/>
    <n v="4.211089201564119E-3"/>
    <n v="6.6340774309080267E-2"/>
  </r>
  <r>
    <s v="P224"/>
    <x v="3"/>
    <x v="4"/>
    <n v="0.32083531086853345"/>
    <n v="4.8765982753493906E-2"/>
    <n v="0.36960129362202737"/>
  </r>
  <r>
    <s v="P225"/>
    <x v="3"/>
    <x v="3"/>
    <n v="5.6653298485940883E-2"/>
    <n v="1.3434586089510776E-3"/>
    <n v="5.7996757094891958E-2"/>
  </r>
  <r>
    <s v="P226"/>
    <x v="1"/>
    <x v="3"/>
    <n v="0.25537047673750718"/>
    <n v="1.4627659574468085E-2"/>
    <n v="0.26999813631197528"/>
  </r>
  <r>
    <s v="P227"/>
    <x v="3"/>
    <x v="1"/>
    <n v="0.11232349165596919"/>
    <n v="4.9430523917995448E-2"/>
    <n v="0.16175401557396463"/>
  </r>
  <r>
    <s v="P228"/>
    <x v="0"/>
    <x v="2"/>
    <n v="8.1808097615085965E-2"/>
    <n v="2.7198170051327829E-3"/>
    <n v="8.4527914620218747E-2"/>
  </r>
  <r>
    <s v="P229"/>
    <x v="3"/>
    <x v="3"/>
    <n v="0.13387048227640017"/>
    <n v="2.7943544567585487E-3"/>
    <n v="0.13666483673315871"/>
  </r>
  <r>
    <s v="P230"/>
    <x v="1"/>
    <x v="0"/>
    <n v="7.7512577512577507E-2"/>
    <n v="1.6611624181778631E-3"/>
    <n v="7.9173739930755369E-2"/>
  </r>
  <r>
    <s v="P231"/>
    <x v="0"/>
    <x v="1"/>
    <n v="8.5734265734265735E-2"/>
    <n v="1.2238529426105612E-2"/>
    <n v="9.7972795160371343E-2"/>
  </r>
  <r>
    <s v="P232"/>
    <x v="3"/>
    <x v="2"/>
    <n v="0.7168674698795181"/>
    <n v="0.19252873563218389"/>
    <n v="0.90939620551170197"/>
  </r>
  <r>
    <s v="P233"/>
    <x v="0"/>
    <x v="4"/>
    <n v="7.2969143576826198E-2"/>
    <n v="6.6511739722734196E-3"/>
    <n v="7.9620317549099623E-2"/>
  </r>
  <r>
    <s v="P234"/>
    <x v="1"/>
    <x v="1"/>
    <n v="7.5968222442899705E-2"/>
    <n v="1.7707323242969772E-3"/>
    <n v="7.773895476719668E-2"/>
  </r>
  <r>
    <s v="P235"/>
    <x v="3"/>
    <x v="4"/>
    <n v="0.1283706906360223"/>
    <n v="6.9968644756706541E-3"/>
    <n v="0.13536755511169296"/>
  </r>
  <r>
    <s v="P236"/>
    <x v="2"/>
    <x v="1"/>
    <n v="0.12943516308671441"/>
    <n v="1.6638078902229847E-2"/>
    <n v="0.14607324198894425"/>
  </r>
  <r>
    <s v="P237"/>
    <x v="3"/>
    <x v="2"/>
    <n v="6.7234398994834563E-2"/>
    <n v="1.0655898600712263E-3"/>
    <n v="6.8299988854905791E-2"/>
  </r>
  <r>
    <s v="P238"/>
    <x v="3"/>
    <x v="1"/>
    <n v="7.2579365079365077E-2"/>
    <n v="5.7389192147023105E-4"/>
    <n v="7.3153257000835303E-2"/>
  </r>
  <r>
    <s v="P239"/>
    <x v="3"/>
    <x v="1"/>
    <n v="0.25062082139446035"/>
    <n v="4.9826583948024035E-3"/>
    <n v="0.25560347978926273"/>
  </r>
  <r>
    <s v="P240"/>
    <x v="3"/>
    <x v="3"/>
    <n v="8.6293505561535699E-2"/>
    <n v="9.0647661915478871E-3"/>
    <n v="9.535827175308359E-2"/>
  </r>
  <r>
    <s v="P241"/>
    <x v="2"/>
    <x v="2"/>
    <n v="0.17743908486792079"/>
    <n v="4.1703698639502292E-3"/>
    <n v="0.18160945473187101"/>
  </r>
  <r>
    <s v="P242"/>
    <x v="2"/>
    <x v="0"/>
    <n v="0.18519683938186141"/>
    <n v="7.4882327770646124E-3"/>
    <n v="0.19268507215892602"/>
  </r>
  <r>
    <s v="P243"/>
    <x v="1"/>
    <x v="4"/>
    <n v="9.7001272669424113E-2"/>
    <n v="6.4659527177207514E-4"/>
    <n v="9.764786794119619E-2"/>
  </r>
  <r>
    <s v="P244"/>
    <x v="3"/>
    <x v="5"/>
    <n v="0.25869984981763572"/>
    <n v="2.7897090731966523E-3"/>
    <n v="0.26148955889083236"/>
  </r>
  <r>
    <s v="P245"/>
    <x v="3"/>
    <x v="0"/>
    <n v="0.12232704402515723"/>
    <n v="4.3118148599269185E-3"/>
    <n v="0.12663885888508414"/>
  </r>
  <r>
    <s v="P246"/>
    <x v="3"/>
    <x v="4"/>
    <n v="0.23656250000000001"/>
    <n v="2.9239766081871343E-2"/>
    <n v="0.26580226608187135"/>
  </r>
  <r>
    <s v="P247"/>
    <x v="3"/>
    <x v="0"/>
    <n v="0.11879910213243547"/>
    <n v="5.9684361549497845E-3"/>
    <n v="0.12476753828738525"/>
  </r>
  <r>
    <s v="P248"/>
    <x v="1"/>
    <x v="2"/>
    <n v="0.26297968397291194"/>
    <n v="5.2514243249938072E-2"/>
    <n v="0.31549392722285002"/>
  </r>
  <r>
    <s v="P249"/>
    <x v="3"/>
    <x v="4"/>
    <n v="8.7733440816874911E-2"/>
    <n v="1.7977209993630124E-2"/>
    <n v="0.10571065081050504"/>
  </r>
  <r>
    <s v="P250"/>
    <x v="3"/>
    <x v="0"/>
    <n v="7.3170731707317069E-2"/>
    <n v="3.6648755986450183E-3"/>
    <n v="7.6835607305962089E-2"/>
  </r>
  <r>
    <s v="P251"/>
    <x v="3"/>
    <x v="3"/>
    <n v="0.11619462599854757"/>
    <n v="8.6423704787598893E-3"/>
    <n v="0.12483699647730746"/>
  </r>
  <r>
    <s v="P252"/>
    <x v="3"/>
    <x v="3"/>
    <n v="0.15761129727142173"/>
    <n v="3.924213624379177E-3"/>
    <n v="0.1615355108958009"/>
  </r>
  <r>
    <s v="P253"/>
    <x v="2"/>
    <x v="0"/>
    <n v="8.6897539284772202E-2"/>
    <n v="3.8963754205234447E-3"/>
    <n v="9.0793914705295645E-2"/>
  </r>
  <r>
    <s v="P254"/>
    <x v="3"/>
    <x v="4"/>
    <n v="0.13331166419019316"/>
    <n v="1.0606060606060607E-2"/>
    <n v="0.14391772479625378"/>
  </r>
  <r>
    <s v="P255"/>
    <x v="3"/>
    <x v="2"/>
    <n v="0.11996283514733209"/>
    <n v="6.1401363871002798E-3"/>
    <n v="0.12610297153443237"/>
  </r>
  <r>
    <s v="P256"/>
    <x v="3"/>
    <x v="3"/>
    <n v="5.7936488444630008E-2"/>
    <n v="6.1806853582554513E-3"/>
    <n v="6.4117173802885452E-2"/>
  </r>
  <r>
    <s v="P257"/>
    <x v="2"/>
    <x v="4"/>
    <n v="7.9915048543689318E-2"/>
    <n v="5.1520896875772808E-4"/>
    <n v="8.0430257512447048E-2"/>
  </r>
  <r>
    <s v="P258"/>
    <x v="1"/>
    <x v="2"/>
    <n v="0.2023049153013052"/>
    <n v="8.0171529784655547E-3"/>
    <n v="0.21032206827977076"/>
  </r>
  <r>
    <s v="P259"/>
    <x v="0"/>
    <x v="1"/>
    <n v="0.25771055753262156"/>
    <n v="3.1632653061224487E-2"/>
    <n v="0.28934321059384605"/>
  </r>
  <r>
    <s v="P260"/>
    <x v="3"/>
    <x v="2"/>
    <n v="8.7752275425405618E-2"/>
    <n v="1.6557113763928673E-4"/>
    <n v="8.791784656304491E-2"/>
  </r>
  <r>
    <s v="P261"/>
    <x v="1"/>
    <x v="4"/>
    <n v="8.2835359571399134E-2"/>
    <n v="2.3533646192394481E-3"/>
    <n v="8.5188724190638582E-2"/>
  </r>
  <r>
    <s v="P262"/>
    <x v="2"/>
    <x v="4"/>
    <n v="0.15339966832504145"/>
    <n v="2.5167250716788787E-2"/>
    <n v="0.17856691904183025"/>
  </r>
  <r>
    <s v="P263"/>
    <x v="3"/>
    <x v="0"/>
    <n v="0.26876680752977333"/>
    <n v="1.6488046166529267E-3"/>
    <n v="0.27041561214642623"/>
  </r>
  <r>
    <s v="P264"/>
    <x v="1"/>
    <x v="4"/>
    <n v="0.53389830508474578"/>
    <n v="0.61684210526315786"/>
    <n v="1.1507404103479035"/>
  </r>
  <r>
    <s v="P265"/>
    <x v="0"/>
    <x v="3"/>
    <n v="0.25279701651571657"/>
    <n v="3.738488191848272E-3"/>
    <n v="0.25653550470756487"/>
  </r>
  <r>
    <s v="P266"/>
    <x v="2"/>
    <x v="2"/>
    <n v="0.10086880280567512"/>
    <n v="2.0263013920690564E-4"/>
    <n v="0.10107143294488202"/>
  </r>
  <r>
    <s v="P267"/>
    <x v="0"/>
    <x v="0"/>
    <n v="6.3947934081681396E-2"/>
    <n v="9.3073528087188882E-4"/>
    <n v="6.4878669362553279E-2"/>
  </r>
  <r>
    <s v="P268"/>
    <x v="2"/>
    <x v="0"/>
    <n v="8.4062694239588759E-2"/>
    <n v="4.5286195286195286E-3"/>
    <n v="8.8591313768208294E-2"/>
  </r>
  <r>
    <s v="P269"/>
    <x v="2"/>
    <x v="5"/>
    <n v="0.22157421618066214"/>
    <n v="2.0557332115121061E-3"/>
    <n v="0.22362994939217426"/>
  </r>
  <r>
    <s v="P270"/>
    <x v="2"/>
    <x v="0"/>
    <n v="6.7103868574456813E-2"/>
    <n v="4.0511010253824172E-3"/>
    <n v="7.1154969599839232E-2"/>
  </r>
  <r>
    <s v="P271"/>
    <x v="2"/>
    <x v="5"/>
    <n v="0.20675990675990677"/>
    <n v="9.381765696415684E-3"/>
    <n v="0.21614167245632246"/>
  </r>
  <r>
    <s v="P272"/>
    <x v="1"/>
    <x v="1"/>
    <n v="0.14220299534507186"/>
    <n v="5.5422179087704958E-3"/>
    <n v="0.14774521325384235"/>
  </r>
  <r>
    <s v="P273"/>
    <x v="3"/>
    <x v="2"/>
    <n v="9.7700431949264685E-2"/>
    <n v="7.5281670439227852E-3"/>
    <n v="0.10522859899318747"/>
  </r>
  <r>
    <s v="P274"/>
    <x v="3"/>
    <x v="3"/>
    <n v="7.8849599245638849E-2"/>
    <n v="8.3347540300429993E-4"/>
    <n v="7.9683074648643146E-2"/>
  </r>
  <r>
    <s v="P275"/>
    <x v="1"/>
    <x v="0"/>
    <n v="0.16754738655944859"/>
    <n v="3.4433626217050583E-3"/>
    <n v="0.17099074918115365"/>
  </r>
  <r>
    <s v="P276"/>
    <x v="0"/>
    <x v="3"/>
    <n v="0.2015852613538989"/>
    <n v="1.543661971830986E-2"/>
    <n v="0.21702188107220877"/>
  </r>
  <r>
    <s v="P277"/>
    <x v="3"/>
    <x v="4"/>
    <n v="0.24763928234183191"/>
    <n v="1.1600701891206863E-2"/>
    <n v="0.25923998423303879"/>
  </r>
  <r>
    <s v="P278"/>
    <x v="2"/>
    <x v="1"/>
    <n v="0.11114018842096787"/>
    <n v="5.72507460868506E-3"/>
    <n v="0.11686526302965293"/>
  </r>
  <r>
    <s v="P279"/>
    <x v="2"/>
    <x v="4"/>
    <n v="5.9928644240570844E-2"/>
    <n v="2.8535777114102197E-3"/>
    <n v="6.2782221951981063E-2"/>
  </r>
  <r>
    <s v="P280"/>
    <x v="3"/>
    <x v="5"/>
    <n v="8.3274853801169585E-2"/>
    <n v="1.6339355852317361E-3"/>
    <n v="8.4908789386401326E-2"/>
  </r>
  <r>
    <s v="P281"/>
    <x v="3"/>
    <x v="4"/>
    <n v="6.3118551273952411E-2"/>
    <n v="2.4053452115812917E-3"/>
    <n v="6.5523896485533709E-2"/>
  </r>
  <r>
    <s v="P282"/>
    <x v="2"/>
    <x v="5"/>
    <n v="0.1071650124069479"/>
    <n v="1.6308779559662953E-3"/>
    <n v="0.10879589036291419"/>
  </r>
  <r>
    <s v="P283"/>
    <x v="1"/>
    <x v="0"/>
    <n v="5.8243321401216137E-2"/>
    <n v="2.4612393986423991E-3"/>
    <n v="6.0704560799858538E-2"/>
  </r>
  <r>
    <s v="P284"/>
    <x v="1"/>
    <x v="1"/>
    <n v="0.11465952405480581"/>
    <n v="2.4527500530898281E-2"/>
    <n v="0.13918702458570409"/>
  </r>
  <r>
    <s v="P285"/>
    <x v="2"/>
    <x v="1"/>
    <n v="0.13517919809886983"/>
    <n v="4.9007182087029994E-3"/>
    <n v="0.14007991630757283"/>
  </r>
  <r>
    <s v="P286"/>
    <x v="1"/>
    <x v="5"/>
    <n v="0.19484607062063539"/>
    <n v="1.1726585403487116E-2"/>
    <n v="0.2065726560241225"/>
  </r>
  <r>
    <s v="P287"/>
    <x v="3"/>
    <x v="0"/>
    <n v="0.30126002290950743"/>
    <n v="1.2356841470765521E-2"/>
    <n v="0.31361686438027297"/>
  </r>
  <r>
    <s v="P288"/>
    <x v="1"/>
    <x v="3"/>
    <n v="6.800325430032543E-2"/>
    <n v="3.0556430262528721E-3"/>
    <n v="7.1058897326578302E-2"/>
  </r>
  <r>
    <s v="P289"/>
    <x v="3"/>
    <x v="3"/>
    <n v="7.3018902217375503E-2"/>
    <n v="2.971323275365657E-3"/>
    <n v="7.5990225492741162E-2"/>
  </r>
  <r>
    <s v="P290"/>
    <x v="2"/>
    <x v="3"/>
    <n v="8.3921940869371006E-2"/>
    <n v="5.4046406338426715E-3"/>
    <n v="8.9326581503213681E-2"/>
  </r>
  <r>
    <s v="P291"/>
    <x v="1"/>
    <x v="5"/>
    <n v="7.1956537279290869E-2"/>
    <n v="5.0290246565894592E-4"/>
    <n v="7.2459439744949811E-2"/>
  </r>
  <r>
    <s v="P292"/>
    <x v="2"/>
    <x v="1"/>
    <n v="0.12353896103896105"/>
    <n v="1.9869761228919685E-2"/>
    <n v="0.14340872226788073"/>
  </r>
  <r>
    <s v="P293"/>
    <x v="0"/>
    <x v="1"/>
    <n v="0.12428384068475185"/>
    <n v="9.856949683296562E-3"/>
    <n v="0.13414079036804841"/>
  </r>
  <r>
    <s v="P294"/>
    <x v="0"/>
    <x v="3"/>
    <n v="0.18248432325794406"/>
    <n v="3.1577080007095973E-3"/>
    <n v="0.18564203125865367"/>
  </r>
  <r>
    <s v="P295"/>
    <x v="1"/>
    <x v="4"/>
    <n v="0.16540727459016394"/>
    <n v="1.5256768162046354E-2"/>
    <n v="0.18066404275221029"/>
  </r>
  <r>
    <s v="P296"/>
    <x v="0"/>
    <x v="5"/>
    <n v="5.9387824897400819E-2"/>
    <n v="3.6115983902590032E-3"/>
    <n v="6.2999423287659825E-2"/>
  </r>
  <r>
    <s v="P297"/>
    <x v="2"/>
    <x v="1"/>
    <n v="0.24349030470914126"/>
    <n v="2.342606149341142E-3"/>
    <n v="0.24583291085848241"/>
  </r>
  <r>
    <s v="P298"/>
    <x v="2"/>
    <x v="4"/>
    <n v="5.8563792702765516E-2"/>
    <n v="1.6312643463873322E-4"/>
    <n v="5.872691913740425E-2"/>
  </r>
  <r>
    <s v="P299"/>
    <x v="3"/>
    <x v="4"/>
    <n v="0.13840458048129492"/>
    <n v="3.1346558595674173E-3"/>
    <n v="0.14153923634086235"/>
  </r>
  <r>
    <s v="P300"/>
    <x v="1"/>
    <x v="3"/>
    <n v="8.3539958039290485E-2"/>
    <n v="3.0468351199591627E-3"/>
    <n v="8.658679315924965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8D5EA3-F1ED-4A7D-B064-B34BC971645C}" name="PivotTable2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latform" colHeaderCaption="Content Type">
  <location ref="A3:E9" firstHeaderRow="1" firstDataRow="2" firstDataCol="1"/>
  <pivotFields count="6">
    <pivotField showAll="0"/>
    <pivotField axis="axisRow" showAll="0">
      <items count="5">
        <item x="3"/>
        <item x="0"/>
        <item x="1"/>
        <item x="2"/>
        <item t="default"/>
      </items>
    </pivotField>
    <pivotField axis="axisCol" showAll="0">
      <items count="7">
        <item x="3"/>
        <item x="4"/>
        <item h="1" x="0"/>
        <item h="1" x="2"/>
        <item h="1" x="1"/>
        <item x="5"/>
        <item t="default"/>
      </items>
    </pivotField>
    <pivotField numFmtId="2" showAll="0"/>
    <pivotField numFmtId="2" showAll="0"/>
    <pivotField dataField="1" numFmtId="2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4">
    <i>
      <x/>
    </i>
    <i>
      <x v="1"/>
    </i>
    <i>
      <x v="5"/>
    </i>
    <i t="grand">
      <x/>
    </i>
  </colItems>
  <dataFields count="1">
    <dataField name="Average of Performance" fld="5" subtotal="average" baseField="1" baseItem="0" numFmtId="2"/>
  </dataFields>
  <formats count="2">
    <format dxfId="1">
      <pivotArea field="2" type="button" dataOnly="0" labelOnly="1" outline="0" axis="axisCol" fieldPosition="0"/>
    </format>
    <format dxfId="0">
      <pivotArea field="2" type="button" dataOnly="0" labelOnly="1" outline="0" axis="axisCol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A4D1C-D88F-454D-9794-71C53E786924}">
  <dimension ref="A1:Q302"/>
  <sheetViews>
    <sheetView tabSelected="1" topLeftCell="M1" zoomScaleNormal="100" workbookViewId="0">
      <selection activeCell="A63" sqref="A63:XFD63"/>
    </sheetView>
  </sheetViews>
  <sheetFormatPr defaultRowHeight="14.4" x14ac:dyDescent="0.3"/>
  <cols>
    <col min="1" max="2" width="8.6640625" customWidth="1"/>
    <col min="3" max="3" width="24.6640625" customWidth="1"/>
    <col min="4" max="10" width="8.6640625" customWidth="1"/>
    <col min="11" max="11" width="15.6640625" customWidth="1"/>
    <col min="12" max="12" width="52.6640625" bestFit="1" customWidth="1"/>
    <col min="13" max="15" width="52.6640625" customWidth="1"/>
    <col min="16" max="16" width="31.6640625" customWidth="1"/>
    <col min="17" max="17" width="15.88671875" bestFit="1" customWidth="1"/>
  </cols>
  <sheetData>
    <row r="1" spans="1:17" ht="28.8" x14ac:dyDescent="0.3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7" t="s">
        <v>555</v>
      </c>
      <c r="N1" s="7" t="s">
        <v>556</v>
      </c>
      <c r="O1" s="7" t="s">
        <v>558</v>
      </c>
      <c r="P1" s="14" t="s">
        <v>12</v>
      </c>
      <c r="Q1" s="13" t="s">
        <v>568</v>
      </c>
    </row>
    <row r="2" spans="1:17" ht="15.6" x14ac:dyDescent="0.3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>
        <v>1461</v>
      </c>
      <c r="G2" s="3">
        <v>184</v>
      </c>
      <c r="H2" s="3">
        <v>344</v>
      </c>
      <c r="I2" s="3">
        <v>21915</v>
      </c>
      <c r="J2" s="3">
        <v>21675</v>
      </c>
      <c r="K2" s="3">
        <v>15</v>
      </c>
      <c r="L2" s="4" t="s">
        <v>59</v>
      </c>
      <c r="M2" s="4" t="s">
        <v>552</v>
      </c>
      <c r="N2" s="4"/>
      <c r="O2" s="4"/>
      <c r="P2" s="5" t="s">
        <v>18</v>
      </c>
      <c r="Q2" s="12">
        <f t="shared" ref="Q2:Q65" si="0">(F2+G2+H2)/I2</f>
        <v>9.0759753593429152E-2</v>
      </c>
    </row>
    <row r="3" spans="1:17" ht="15.6" x14ac:dyDescent="0.3">
      <c r="A3" s="3" t="s">
        <v>19</v>
      </c>
      <c r="B3" s="3" t="s">
        <v>14</v>
      </c>
      <c r="C3" s="3" t="s">
        <v>20</v>
      </c>
      <c r="D3" s="3" t="s">
        <v>21</v>
      </c>
      <c r="E3" s="3" t="s">
        <v>22</v>
      </c>
      <c r="F3" s="3">
        <v>4054</v>
      </c>
      <c r="G3" s="3">
        <v>389</v>
      </c>
      <c r="H3" s="3">
        <v>493</v>
      </c>
      <c r="I3" s="3">
        <v>64864</v>
      </c>
      <c r="J3" s="3">
        <v>64383</v>
      </c>
      <c r="K3" s="3">
        <v>117</v>
      </c>
      <c r="L3" s="4" t="s">
        <v>28</v>
      </c>
      <c r="M3" s="4" t="s">
        <v>553</v>
      </c>
      <c r="N3" s="4"/>
      <c r="O3" s="4"/>
      <c r="P3" s="5" t="s">
        <v>23</v>
      </c>
      <c r="Q3" s="12">
        <f t="shared" si="0"/>
        <v>7.6097681302417369E-2</v>
      </c>
    </row>
    <row r="4" spans="1:17" ht="15.6" x14ac:dyDescent="0.3">
      <c r="A4" s="3" t="s">
        <v>24</v>
      </c>
      <c r="B4" s="3" t="s">
        <v>25</v>
      </c>
      <c r="C4" s="3" t="s">
        <v>26</v>
      </c>
      <c r="D4" s="3" t="s">
        <v>16</v>
      </c>
      <c r="E4" s="3" t="s">
        <v>27</v>
      </c>
      <c r="F4" s="3">
        <v>2795</v>
      </c>
      <c r="G4" s="3">
        <v>105</v>
      </c>
      <c r="H4" s="3">
        <v>49</v>
      </c>
      <c r="I4" s="3">
        <v>53105</v>
      </c>
      <c r="J4" s="3">
        <v>52307</v>
      </c>
      <c r="K4" s="3">
        <v>204</v>
      </c>
      <c r="L4" s="4" t="s">
        <v>28</v>
      </c>
      <c r="M4" s="4"/>
      <c r="N4" s="4"/>
      <c r="O4" s="4"/>
      <c r="P4" s="5" t="s">
        <v>29</v>
      </c>
      <c r="Q4" s="12">
        <f t="shared" si="0"/>
        <v>5.5531494209584788E-2</v>
      </c>
    </row>
    <row r="5" spans="1:17" ht="15.6" x14ac:dyDescent="0.3">
      <c r="A5" s="3" t="s">
        <v>30</v>
      </c>
      <c r="B5" s="3" t="s">
        <v>31</v>
      </c>
      <c r="C5" s="3" t="s">
        <v>32</v>
      </c>
      <c r="D5" s="3" t="s">
        <v>33</v>
      </c>
      <c r="E5" s="3" t="s">
        <v>34</v>
      </c>
      <c r="F5" s="3">
        <v>2404</v>
      </c>
      <c r="G5" s="3">
        <v>363</v>
      </c>
      <c r="H5" s="3">
        <v>138</v>
      </c>
      <c r="I5" s="3">
        <v>19232</v>
      </c>
      <c r="J5" s="3">
        <v>18636</v>
      </c>
      <c r="K5" s="3">
        <v>128</v>
      </c>
      <c r="L5" s="4" t="s">
        <v>35</v>
      </c>
      <c r="M5" s="4"/>
      <c r="N5" s="4"/>
      <c r="O5" s="4"/>
      <c r="P5" s="5" t="s">
        <v>36</v>
      </c>
      <c r="Q5" s="12">
        <f t="shared" si="0"/>
        <v>0.15105033277870217</v>
      </c>
    </row>
    <row r="6" spans="1:17" ht="15.6" x14ac:dyDescent="0.3">
      <c r="A6" s="3" t="s">
        <v>37</v>
      </c>
      <c r="B6" s="3" t="s">
        <v>25</v>
      </c>
      <c r="C6" s="3" t="s">
        <v>38</v>
      </c>
      <c r="D6" s="3" t="s">
        <v>16</v>
      </c>
      <c r="E6" s="3" t="s">
        <v>27</v>
      </c>
      <c r="F6" s="3">
        <v>3557</v>
      </c>
      <c r="G6" s="3">
        <v>687</v>
      </c>
      <c r="H6" s="3">
        <v>424</v>
      </c>
      <c r="I6" s="3">
        <v>71140</v>
      </c>
      <c r="J6" s="3">
        <v>70701</v>
      </c>
      <c r="K6" s="3">
        <v>224</v>
      </c>
      <c r="L6" s="4" t="s">
        <v>35</v>
      </c>
      <c r="M6" s="4" t="s">
        <v>28</v>
      </c>
      <c r="N6" s="4"/>
      <c r="O6" s="4"/>
      <c r="P6" s="5" t="s">
        <v>18</v>
      </c>
      <c r="Q6" s="12">
        <f t="shared" si="0"/>
        <v>6.5617093055946027E-2</v>
      </c>
    </row>
    <row r="7" spans="1:17" ht="15.6" x14ac:dyDescent="0.3">
      <c r="A7" s="3" t="s">
        <v>39</v>
      </c>
      <c r="B7" s="3" t="s">
        <v>40</v>
      </c>
      <c r="C7" s="3" t="s">
        <v>41</v>
      </c>
      <c r="D7" s="3" t="s">
        <v>42</v>
      </c>
      <c r="E7" s="3" t="s">
        <v>43</v>
      </c>
      <c r="F7" s="3">
        <v>2945</v>
      </c>
      <c r="G7" s="3">
        <v>930</v>
      </c>
      <c r="H7" s="3">
        <v>355</v>
      </c>
      <c r="I7" s="3">
        <v>23560</v>
      </c>
      <c r="J7" s="3">
        <v>23275</v>
      </c>
      <c r="K7" s="3">
        <v>256</v>
      </c>
      <c r="L7" s="4" t="s">
        <v>28</v>
      </c>
      <c r="M7" s="4"/>
      <c r="N7" s="4"/>
      <c r="O7" s="4"/>
      <c r="P7" s="5" t="s">
        <v>23</v>
      </c>
      <c r="Q7" s="12">
        <f t="shared" si="0"/>
        <v>0.17954159592529711</v>
      </c>
    </row>
    <row r="8" spans="1:17" ht="15.6" x14ac:dyDescent="0.3">
      <c r="A8" s="3" t="s">
        <v>44</v>
      </c>
      <c r="B8" s="3" t="s">
        <v>14</v>
      </c>
      <c r="C8" s="3" t="s">
        <v>45</v>
      </c>
      <c r="D8" s="3" t="s">
        <v>42</v>
      </c>
      <c r="E8" s="3" t="s">
        <v>46</v>
      </c>
      <c r="F8" s="3">
        <v>3860</v>
      </c>
      <c r="G8" s="3">
        <v>201</v>
      </c>
      <c r="H8" s="3">
        <v>279</v>
      </c>
      <c r="I8" s="3">
        <v>61760</v>
      </c>
      <c r="J8" s="3">
        <v>61660</v>
      </c>
      <c r="K8" s="3">
        <v>235</v>
      </c>
      <c r="L8" s="4" t="s">
        <v>28</v>
      </c>
      <c r="M8" s="4"/>
      <c r="N8" s="4"/>
      <c r="O8" s="4"/>
      <c r="P8" s="5" t="s">
        <v>23</v>
      </c>
      <c r="Q8" s="12">
        <f t="shared" si="0"/>
        <v>7.0272020725388601E-2</v>
      </c>
    </row>
    <row r="9" spans="1:17" ht="15.6" x14ac:dyDescent="0.3">
      <c r="A9" s="3" t="s">
        <v>47</v>
      </c>
      <c r="B9" s="3" t="s">
        <v>25</v>
      </c>
      <c r="C9" s="3" t="s">
        <v>48</v>
      </c>
      <c r="D9" s="3" t="s">
        <v>49</v>
      </c>
      <c r="E9" s="3" t="s">
        <v>50</v>
      </c>
      <c r="F9" s="3">
        <v>3929</v>
      </c>
      <c r="G9" s="3">
        <v>262</v>
      </c>
      <c r="H9" s="3">
        <v>278</v>
      </c>
      <c r="I9" s="3">
        <v>43219</v>
      </c>
      <c r="J9" s="3">
        <v>42841</v>
      </c>
      <c r="K9" s="3">
        <v>39</v>
      </c>
      <c r="L9" s="4" t="s">
        <v>35</v>
      </c>
      <c r="M9" s="4"/>
      <c r="N9" s="4"/>
      <c r="O9" s="4"/>
      <c r="P9" s="5" t="s">
        <v>36</v>
      </c>
      <c r="Q9" s="12">
        <f t="shared" si="0"/>
        <v>0.10340359564080613</v>
      </c>
    </row>
    <row r="10" spans="1:17" ht="15.6" x14ac:dyDescent="0.3">
      <c r="A10" s="3" t="s">
        <v>51</v>
      </c>
      <c r="B10" s="3" t="s">
        <v>40</v>
      </c>
      <c r="C10" s="3" t="s">
        <v>52</v>
      </c>
      <c r="D10" s="3" t="s">
        <v>21</v>
      </c>
      <c r="E10" s="3" t="s">
        <v>53</v>
      </c>
      <c r="F10" s="3">
        <v>3784</v>
      </c>
      <c r="G10" s="3">
        <v>808</v>
      </c>
      <c r="H10" s="3">
        <v>404</v>
      </c>
      <c r="I10" s="3">
        <v>56760</v>
      </c>
      <c r="J10" s="3">
        <v>56343</v>
      </c>
      <c r="K10" s="3">
        <v>131</v>
      </c>
      <c r="L10" s="4" t="s">
        <v>28</v>
      </c>
      <c r="M10" s="4"/>
      <c r="N10" s="4"/>
      <c r="O10" s="4"/>
      <c r="P10" s="5" t="s">
        <v>23</v>
      </c>
      <c r="Q10" s="12">
        <f t="shared" si="0"/>
        <v>8.8019732205778717E-2</v>
      </c>
    </row>
    <row r="11" spans="1:17" ht="15.6" x14ac:dyDescent="0.3">
      <c r="A11" s="3" t="s">
        <v>54</v>
      </c>
      <c r="B11" s="3" t="s">
        <v>40</v>
      </c>
      <c r="C11" s="3" t="s">
        <v>55</v>
      </c>
      <c r="D11" s="3" t="s">
        <v>49</v>
      </c>
      <c r="E11" s="3" t="s">
        <v>56</v>
      </c>
      <c r="F11" s="3">
        <v>4241</v>
      </c>
      <c r="G11" s="3">
        <v>902</v>
      </c>
      <c r="H11" s="3">
        <v>47</v>
      </c>
      <c r="I11" s="3">
        <v>72097</v>
      </c>
      <c r="J11" s="3">
        <v>71598</v>
      </c>
      <c r="K11" s="3">
        <v>167</v>
      </c>
      <c r="L11" s="4" t="s">
        <v>28</v>
      </c>
      <c r="M11" s="4"/>
      <c r="N11" s="4"/>
      <c r="O11" s="4"/>
      <c r="P11" s="5" t="s">
        <v>23</v>
      </c>
      <c r="Q11" s="12">
        <f t="shared" si="0"/>
        <v>7.198635172059864E-2</v>
      </c>
    </row>
    <row r="12" spans="1:17" ht="15.6" x14ac:dyDescent="0.3">
      <c r="A12" s="3" t="s">
        <v>57</v>
      </c>
      <c r="B12" s="3" t="s">
        <v>31</v>
      </c>
      <c r="C12" s="3" t="s">
        <v>58</v>
      </c>
      <c r="D12" s="3" t="s">
        <v>33</v>
      </c>
      <c r="E12" s="3" t="s">
        <v>34</v>
      </c>
      <c r="F12" s="3">
        <v>1792</v>
      </c>
      <c r="G12" s="3">
        <v>614</v>
      </c>
      <c r="H12" s="3">
        <v>497</v>
      </c>
      <c r="I12" s="3">
        <v>25088</v>
      </c>
      <c r="J12" s="3">
        <v>24675</v>
      </c>
      <c r="K12" s="3">
        <v>65</v>
      </c>
      <c r="L12" s="4" t="s">
        <v>59</v>
      </c>
      <c r="M12" s="4"/>
      <c r="N12" s="4"/>
      <c r="O12" s="4"/>
      <c r="P12" s="5" t="s">
        <v>36</v>
      </c>
      <c r="Q12" s="12">
        <f t="shared" si="0"/>
        <v>0.11571269132653061</v>
      </c>
    </row>
    <row r="13" spans="1:17" ht="15.6" x14ac:dyDescent="0.3">
      <c r="A13" s="3" t="s">
        <v>60</v>
      </c>
      <c r="B13" s="3" t="s">
        <v>40</v>
      </c>
      <c r="C13" s="3" t="s">
        <v>61</v>
      </c>
      <c r="D13" s="3" t="s">
        <v>16</v>
      </c>
      <c r="E13" s="3" t="s">
        <v>62</v>
      </c>
      <c r="F13" s="3">
        <v>1946</v>
      </c>
      <c r="G13" s="3">
        <v>686</v>
      </c>
      <c r="H13" s="3">
        <v>377</v>
      </c>
      <c r="I13" s="3">
        <v>23352</v>
      </c>
      <c r="J13" s="3">
        <v>22982</v>
      </c>
      <c r="K13" s="3">
        <v>213</v>
      </c>
      <c r="L13" s="4" t="s">
        <v>59</v>
      </c>
      <c r="M13" s="4"/>
      <c r="N13" s="4"/>
      <c r="O13" s="4"/>
      <c r="P13" s="5" t="s">
        <v>29</v>
      </c>
      <c r="Q13" s="12">
        <f t="shared" si="0"/>
        <v>0.12885405960945528</v>
      </c>
    </row>
    <row r="14" spans="1:17" ht="15.6" x14ac:dyDescent="0.3">
      <c r="A14" s="3" t="s">
        <v>63</v>
      </c>
      <c r="B14" s="3" t="s">
        <v>25</v>
      </c>
      <c r="C14" s="3" t="s">
        <v>64</v>
      </c>
      <c r="D14" s="3" t="s">
        <v>42</v>
      </c>
      <c r="E14" s="3" t="s">
        <v>65</v>
      </c>
      <c r="F14" s="3">
        <v>1171</v>
      </c>
      <c r="G14" s="3">
        <v>286</v>
      </c>
      <c r="H14" s="3">
        <v>231</v>
      </c>
      <c r="I14" s="3">
        <v>22249</v>
      </c>
      <c r="J14" s="3">
        <v>21282</v>
      </c>
      <c r="K14" s="3">
        <v>114</v>
      </c>
      <c r="L14" s="4" t="s">
        <v>35</v>
      </c>
      <c r="M14" s="4"/>
      <c r="N14" s="4"/>
      <c r="O14" s="4"/>
      <c r="P14" s="5" t="s">
        <v>18</v>
      </c>
      <c r="Q14" s="12">
        <f t="shared" si="0"/>
        <v>7.5868578363072495E-2</v>
      </c>
    </row>
    <row r="15" spans="1:17" ht="15.6" x14ac:dyDescent="0.3">
      <c r="A15" s="3" t="s">
        <v>66</v>
      </c>
      <c r="B15" s="3" t="s">
        <v>40</v>
      </c>
      <c r="C15" s="3" t="s">
        <v>67</v>
      </c>
      <c r="D15" s="3" t="s">
        <v>33</v>
      </c>
      <c r="E15" s="3" t="s">
        <v>68</v>
      </c>
      <c r="F15" s="3">
        <v>4242</v>
      </c>
      <c r="G15" s="3">
        <v>555</v>
      </c>
      <c r="H15" s="3">
        <v>131</v>
      </c>
      <c r="I15" s="3">
        <v>33936</v>
      </c>
      <c r="J15" s="3">
        <v>33802</v>
      </c>
      <c r="K15" s="3">
        <v>265</v>
      </c>
      <c r="L15" s="4" t="s">
        <v>59</v>
      </c>
      <c r="M15" s="4"/>
      <c r="N15" s="4"/>
      <c r="O15" s="4"/>
      <c r="P15" s="5"/>
      <c r="Q15" s="12">
        <f t="shared" si="0"/>
        <v>0.14521452145214522</v>
      </c>
    </row>
    <row r="16" spans="1:17" ht="15.6" x14ac:dyDescent="0.3">
      <c r="A16" s="3" t="s">
        <v>69</v>
      </c>
      <c r="B16" s="3" t="s">
        <v>40</v>
      </c>
      <c r="C16" s="3" t="s">
        <v>70</v>
      </c>
      <c r="D16" s="3" t="s">
        <v>71</v>
      </c>
      <c r="E16" s="3" t="s">
        <v>72</v>
      </c>
      <c r="F16" s="3">
        <v>3888</v>
      </c>
      <c r="G16" s="3">
        <v>604</v>
      </c>
      <c r="H16" s="3">
        <v>128</v>
      </c>
      <c r="I16" s="3">
        <v>77760</v>
      </c>
      <c r="J16" s="3">
        <v>77167</v>
      </c>
      <c r="K16" s="3">
        <v>20</v>
      </c>
      <c r="L16" s="4" t="s">
        <v>59</v>
      </c>
      <c r="M16" s="4"/>
      <c r="N16" s="4"/>
      <c r="O16" s="4"/>
      <c r="P16" s="5" t="s">
        <v>18</v>
      </c>
      <c r="Q16" s="12">
        <f t="shared" si="0"/>
        <v>5.941358024691358E-2</v>
      </c>
    </row>
    <row r="17" spans="1:17" ht="15.6" x14ac:dyDescent="0.3">
      <c r="A17" s="3" t="s">
        <v>73</v>
      </c>
      <c r="B17" s="3" t="s">
        <v>40</v>
      </c>
      <c r="C17" s="3" t="s">
        <v>74</v>
      </c>
      <c r="D17" s="3" t="s">
        <v>21</v>
      </c>
      <c r="E17" s="3" t="s">
        <v>53</v>
      </c>
      <c r="F17" s="3">
        <v>3452</v>
      </c>
      <c r="G17" s="3">
        <v>377</v>
      </c>
      <c r="H17" s="3">
        <v>360</v>
      </c>
      <c r="I17" s="3">
        <v>55232</v>
      </c>
      <c r="J17" s="3">
        <v>55075</v>
      </c>
      <c r="K17" s="3">
        <v>87</v>
      </c>
      <c r="L17" s="4" t="s">
        <v>59</v>
      </c>
      <c r="M17" s="4"/>
      <c r="N17" s="4"/>
      <c r="O17" s="4"/>
      <c r="P17" s="5" t="s">
        <v>29</v>
      </c>
      <c r="Q17" s="12">
        <f t="shared" si="0"/>
        <v>7.5843713789107758E-2</v>
      </c>
    </row>
    <row r="18" spans="1:17" ht="15.6" x14ac:dyDescent="0.3">
      <c r="A18" s="3" t="s">
        <v>75</v>
      </c>
      <c r="B18" s="3" t="s">
        <v>40</v>
      </c>
      <c r="C18" s="3" t="s">
        <v>76</v>
      </c>
      <c r="D18" s="3" t="s">
        <v>21</v>
      </c>
      <c r="E18" s="3" t="s">
        <v>53</v>
      </c>
      <c r="F18" s="3">
        <v>4441</v>
      </c>
      <c r="G18" s="3">
        <v>511</v>
      </c>
      <c r="H18" s="3">
        <v>70</v>
      </c>
      <c r="I18" s="3">
        <v>53292</v>
      </c>
      <c r="J18" s="3">
        <v>53082</v>
      </c>
      <c r="K18" s="3">
        <v>159</v>
      </c>
      <c r="L18" s="4" t="s">
        <v>35</v>
      </c>
      <c r="M18" s="4"/>
      <c r="N18" s="4"/>
      <c r="O18" s="4"/>
      <c r="P18" s="5" t="s">
        <v>36</v>
      </c>
      <c r="Q18" s="12">
        <f t="shared" si="0"/>
        <v>9.4235532537716729E-2</v>
      </c>
    </row>
    <row r="19" spans="1:17" ht="15.6" x14ac:dyDescent="0.3">
      <c r="A19" s="3" t="s">
        <v>77</v>
      </c>
      <c r="B19" s="3" t="s">
        <v>31</v>
      </c>
      <c r="C19" s="3" t="s">
        <v>78</v>
      </c>
      <c r="D19" s="3" t="s">
        <v>16</v>
      </c>
      <c r="E19" s="3" t="s">
        <v>79</v>
      </c>
      <c r="F19" s="3">
        <v>3000</v>
      </c>
      <c r="G19" s="3">
        <v>382</v>
      </c>
      <c r="H19" s="3">
        <v>325</v>
      </c>
      <c r="I19" s="3">
        <v>36000</v>
      </c>
      <c r="J19" s="3">
        <v>35819</v>
      </c>
      <c r="K19" s="3">
        <v>19</v>
      </c>
      <c r="L19" s="4" t="s">
        <v>59</v>
      </c>
      <c r="M19" s="4"/>
      <c r="N19" s="4"/>
      <c r="O19" s="4"/>
      <c r="P19" s="5" t="s">
        <v>18</v>
      </c>
      <c r="Q19" s="12">
        <f t="shared" si="0"/>
        <v>0.10297222222222223</v>
      </c>
    </row>
    <row r="20" spans="1:17" ht="15.6" x14ac:dyDescent="0.3">
      <c r="A20" s="3" t="s">
        <v>80</v>
      </c>
      <c r="B20" s="3" t="s">
        <v>31</v>
      </c>
      <c r="C20" s="3" t="s">
        <v>81</v>
      </c>
      <c r="D20" s="3" t="s">
        <v>71</v>
      </c>
      <c r="E20" s="3" t="s">
        <v>82</v>
      </c>
      <c r="F20" s="3">
        <v>1071</v>
      </c>
      <c r="G20" s="3">
        <v>519</v>
      </c>
      <c r="H20" s="3">
        <v>22</v>
      </c>
      <c r="I20" s="3">
        <v>16065</v>
      </c>
      <c r="J20" s="3">
        <v>15865</v>
      </c>
      <c r="K20" s="3">
        <v>103</v>
      </c>
      <c r="L20" s="4" t="s">
        <v>28</v>
      </c>
      <c r="M20" s="4"/>
      <c r="N20" s="4"/>
      <c r="O20" s="4"/>
      <c r="P20" s="5" t="s">
        <v>36</v>
      </c>
      <c r="Q20" s="12">
        <f t="shared" si="0"/>
        <v>0.10034235916588857</v>
      </c>
    </row>
    <row r="21" spans="1:17" ht="15.6" x14ac:dyDescent="0.3">
      <c r="A21" s="3" t="s">
        <v>83</v>
      </c>
      <c r="B21" s="3" t="s">
        <v>31</v>
      </c>
      <c r="C21" s="3" t="s">
        <v>84</v>
      </c>
      <c r="D21" s="3" t="s">
        <v>42</v>
      </c>
      <c r="E21" s="3" t="s">
        <v>85</v>
      </c>
      <c r="F21" s="3">
        <v>4054</v>
      </c>
      <c r="G21" s="3">
        <v>488</v>
      </c>
      <c r="H21" s="3">
        <v>373</v>
      </c>
      <c r="I21" s="3">
        <v>77026</v>
      </c>
      <c r="J21" s="3">
        <v>76881</v>
      </c>
      <c r="K21" s="3">
        <v>25</v>
      </c>
      <c r="L21" s="4" t="s">
        <v>28</v>
      </c>
      <c r="M21" s="4"/>
      <c r="N21" s="4"/>
      <c r="O21" s="4"/>
      <c r="P21" s="5" t="s">
        <v>18</v>
      </c>
      <c r="Q21" s="12">
        <f t="shared" si="0"/>
        <v>6.3809622724794221E-2</v>
      </c>
    </row>
    <row r="22" spans="1:17" ht="15.6" x14ac:dyDescent="0.3">
      <c r="A22" s="3" t="s">
        <v>86</v>
      </c>
      <c r="B22" s="3" t="s">
        <v>31</v>
      </c>
      <c r="C22" s="3" t="s">
        <v>87</v>
      </c>
      <c r="D22" s="3" t="s">
        <v>16</v>
      </c>
      <c r="E22" s="3" t="s">
        <v>79</v>
      </c>
      <c r="F22" s="3">
        <v>4838</v>
      </c>
      <c r="G22" s="3">
        <v>640</v>
      </c>
      <c r="H22" s="3">
        <v>128</v>
      </c>
      <c r="I22" s="3">
        <v>72570</v>
      </c>
      <c r="J22" s="3">
        <v>72396</v>
      </c>
      <c r="K22" s="3">
        <v>83</v>
      </c>
      <c r="L22" s="4" t="s">
        <v>59</v>
      </c>
      <c r="M22" s="4"/>
      <c r="N22" s="4"/>
      <c r="O22" s="4"/>
      <c r="P22" s="5" t="s">
        <v>36</v>
      </c>
      <c r="Q22" s="12">
        <f t="shared" si="0"/>
        <v>7.7249552156538517E-2</v>
      </c>
    </row>
    <row r="23" spans="1:17" ht="15.6" x14ac:dyDescent="0.3">
      <c r="A23" s="3" t="s">
        <v>88</v>
      </c>
      <c r="B23" s="3" t="s">
        <v>40</v>
      </c>
      <c r="C23" s="3" t="s">
        <v>89</v>
      </c>
      <c r="D23" s="3" t="s">
        <v>21</v>
      </c>
      <c r="E23" s="3" t="s">
        <v>53</v>
      </c>
      <c r="F23" s="3">
        <v>1570</v>
      </c>
      <c r="G23" s="3">
        <v>187</v>
      </c>
      <c r="H23" s="3">
        <v>260</v>
      </c>
      <c r="I23" s="3">
        <v>25120</v>
      </c>
      <c r="J23" s="3">
        <v>24613</v>
      </c>
      <c r="K23" s="3">
        <v>133</v>
      </c>
      <c r="L23" s="4" t="s">
        <v>28</v>
      </c>
      <c r="M23" s="4"/>
      <c r="N23" s="4"/>
      <c r="O23" s="4"/>
      <c r="P23" s="5" t="s">
        <v>36</v>
      </c>
      <c r="Q23" s="12">
        <f t="shared" si="0"/>
        <v>8.0294585987261149E-2</v>
      </c>
    </row>
    <row r="24" spans="1:17" ht="15.6" x14ac:dyDescent="0.3">
      <c r="A24" s="3" t="s">
        <v>90</v>
      </c>
      <c r="B24" s="3" t="s">
        <v>40</v>
      </c>
      <c r="C24" s="3" t="s">
        <v>91</v>
      </c>
      <c r="D24" s="3" t="s">
        <v>71</v>
      </c>
      <c r="E24" s="3" t="s">
        <v>72</v>
      </c>
      <c r="F24" s="3">
        <v>1606</v>
      </c>
      <c r="G24" s="3">
        <v>547</v>
      </c>
      <c r="H24" s="3">
        <v>316</v>
      </c>
      <c r="I24" s="3">
        <v>32120</v>
      </c>
      <c r="J24" s="3">
        <v>31736</v>
      </c>
      <c r="K24" s="3">
        <v>225</v>
      </c>
      <c r="L24" s="4" t="s">
        <v>28</v>
      </c>
      <c r="M24" s="4" t="s">
        <v>552</v>
      </c>
      <c r="N24" s="4"/>
      <c r="O24" s="4"/>
      <c r="P24" s="5" t="s">
        <v>23</v>
      </c>
      <c r="Q24" s="12">
        <f t="shared" si="0"/>
        <v>7.6867995018679955E-2</v>
      </c>
    </row>
    <row r="25" spans="1:17" ht="15.6" x14ac:dyDescent="0.3">
      <c r="A25" s="3" t="s">
        <v>92</v>
      </c>
      <c r="B25" s="3" t="s">
        <v>40</v>
      </c>
      <c r="C25" s="3" t="s">
        <v>93</v>
      </c>
      <c r="D25" s="3" t="s">
        <v>71</v>
      </c>
      <c r="E25" s="3" t="s">
        <v>72</v>
      </c>
      <c r="F25" s="3">
        <v>3961</v>
      </c>
      <c r="G25" s="3">
        <v>761</v>
      </c>
      <c r="H25" s="3">
        <v>131</v>
      </c>
      <c r="I25" s="3">
        <v>67337</v>
      </c>
      <c r="J25" s="3">
        <v>66615</v>
      </c>
      <c r="K25" s="3">
        <v>161</v>
      </c>
      <c r="L25" s="4" t="s">
        <v>59</v>
      </c>
      <c r="M25" s="4"/>
      <c r="N25" s="4"/>
      <c r="O25" s="4"/>
      <c r="P25" s="5" t="s">
        <v>29</v>
      </c>
      <c r="Q25" s="12">
        <f t="shared" si="0"/>
        <v>7.2070332803659209E-2</v>
      </c>
    </row>
    <row r="26" spans="1:17" ht="15.6" x14ac:dyDescent="0.3">
      <c r="A26" s="3" t="s">
        <v>94</v>
      </c>
      <c r="B26" s="3" t="s">
        <v>14</v>
      </c>
      <c r="C26" s="3" t="s">
        <v>95</v>
      </c>
      <c r="D26" s="3" t="s">
        <v>42</v>
      </c>
      <c r="E26" s="3" t="s">
        <v>46</v>
      </c>
      <c r="F26" s="3">
        <v>3128</v>
      </c>
      <c r="G26" s="3">
        <v>211</v>
      </c>
      <c r="H26" s="3">
        <v>197</v>
      </c>
      <c r="I26" s="3">
        <v>59432</v>
      </c>
      <c r="J26" s="3">
        <v>59182</v>
      </c>
      <c r="K26" s="3">
        <v>238</v>
      </c>
      <c r="L26" s="4" t="s">
        <v>35</v>
      </c>
      <c r="M26" s="4"/>
      <c r="N26" s="4"/>
      <c r="O26" s="4"/>
      <c r="P26" s="5"/>
      <c r="Q26" s="12">
        <f t="shared" si="0"/>
        <v>5.9496567505720827E-2</v>
      </c>
    </row>
    <row r="27" spans="1:17" ht="15.6" x14ac:dyDescent="0.3">
      <c r="A27" s="3" t="s">
        <v>96</v>
      </c>
      <c r="B27" s="3" t="s">
        <v>25</v>
      </c>
      <c r="C27" s="3" t="s">
        <v>97</v>
      </c>
      <c r="D27" s="3" t="s">
        <v>16</v>
      </c>
      <c r="E27" s="3" t="s">
        <v>27</v>
      </c>
      <c r="F27" s="3">
        <v>3009</v>
      </c>
      <c r="G27" s="3">
        <v>413</v>
      </c>
      <c r="H27" s="3">
        <v>358</v>
      </c>
      <c r="I27" s="3">
        <v>42126</v>
      </c>
      <c r="J27" s="3">
        <v>41309</v>
      </c>
      <c r="K27" s="3">
        <v>211</v>
      </c>
      <c r="L27" s="4" t="s">
        <v>59</v>
      </c>
      <c r="M27" s="4"/>
      <c r="N27" s="4"/>
      <c r="O27" s="4"/>
      <c r="P27" s="5" t="s">
        <v>23</v>
      </c>
      <c r="Q27" s="12">
        <f t="shared" si="0"/>
        <v>8.9730807577268201E-2</v>
      </c>
    </row>
    <row r="28" spans="1:17" ht="15.6" x14ac:dyDescent="0.3">
      <c r="A28" s="3" t="s">
        <v>98</v>
      </c>
      <c r="B28" s="3" t="s">
        <v>25</v>
      </c>
      <c r="C28" s="3" t="s">
        <v>99</v>
      </c>
      <c r="D28" s="3" t="s">
        <v>21</v>
      </c>
      <c r="E28" s="3" t="s">
        <v>100</v>
      </c>
      <c r="F28" s="3">
        <v>2076</v>
      </c>
      <c r="G28" s="3">
        <v>195</v>
      </c>
      <c r="H28" s="3">
        <v>104</v>
      </c>
      <c r="I28" s="3">
        <v>33216</v>
      </c>
      <c r="J28" s="3">
        <v>32244</v>
      </c>
      <c r="K28" s="3">
        <v>51</v>
      </c>
      <c r="L28" s="4" t="s">
        <v>59</v>
      </c>
      <c r="M28" s="4"/>
      <c r="N28" s="4"/>
      <c r="O28" s="4"/>
      <c r="P28" s="5" t="s">
        <v>36</v>
      </c>
      <c r="Q28" s="12">
        <f t="shared" si="0"/>
        <v>7.1501685934489398E-2</v>
      </c>
    </row>
    <row r="29" spans="1:17" ht="15.6" x14ac:dyDescent="0.3">
      <c r="A29" s="3" t="s">
        <v>101</v>
      </c>
      <c r="B29" s="3" t="s">
        <v>31</v>
      </c>
      <c r="C29" s="3" t="s">
        <v>102</v>
      </c>
      <c r="D29" s="3" t="s">
        <v>71</v>
      </c>
      <c r="E29" s="3" t="s">
        <v>82</v>
      </c>
      <c r="F29" s="3">
        <v>432</v>
      </c>
      <c r="G29" s="3">
        <v>624</v>
      </c>
      <c r="H29" s="3">
        <v>123</v>
      </c>
      <c r="I29" s="3">
        <v>6912</v>
      </c>
      <c r="J29" s="3">
        <v>6259</v>
      </c>
      <c r="K29" s="3">
        <v>79</v>
      </c>
      <c r="L29" s="4" t="s">
        <v>59</v>
      </c>
      <c r="M29" s="4"/>
      <c r="N29" s="4"/>
      <c r="O29" s="4"/>
      <c r="P29" s="5" t="s">
        <v>36</v>
      </c>
      <c r="Q29" s="12">
        <f t="shared" si="0"/>
        <v>0.17057291666666666</v>
      </c>
    </row>
    <row r="30" spans="1:17" ht="15.6" x14ac:dyDescent="0.3">
      <c r="A30" s="3" t="s">
        <v>103</v>
      </c>
      <c r="B30" s="3" t="s">
        <v>31</v>
      </c>
      <c r="C30" s="3" t="s">
        <v>104</v>
      </c>
      <c r="D30" s="3" t="s">
        <v>42</v>
      </c>
      <c r="E30" s="3" t="s">
        <v>85</v>
      </c>
      <c r="F30" s="3">
        <v>2566</v>
      </c>
      <c r="G30" s="3">
        <v>118</v>
      </c>
      <c r="H30" s="3">
        <v>37</v>
      </c>
      <c r="I30" s="3">
        <v>12830</v>
      </c>
      <c r="J30" s="3">
        <v>12264</v>
      </c>
      <c r="K30" s="3">
        <v>221</v>
      </c>
      <c r="L30" s="4" t="s">
        <v>59</v>
      </c>
      <c r="M30" s="4"/>
      <c r="N30" s="4"/>
      <c r="O30" s="4"/>
      <c r="P30" s="5" t="s">
        <v>29</v>
      </c>
      <c r="Q30" s="12">
        <f t="shared" si="0"/>
        <v>0.21208106001558846</v>
      </c>
    </row>
    <row r="31" spans="1:17" ht="15.6" x14ac:dyDescent="0.3">
      <c r="A31" s="3" t="s">
        <v>105</v>
      </c>
      <c r="B31" s="3" t="s">
        <v>31</v>
      </c>
      <c r="C31" s="3" t="s">
        <v>106</v>
      </c>
      <c r="D31" s="3" t="s">
        <v>71</v>
      </c>
      <c r="E31" s="3" t="s">
        <v>82</v>
      </c>
      <c r="F31" s="3">
        <v>3095</v>
      </c>
      <c r="G31" s="3">
        <v>39</v>
      </c>
      <c r="H31" s="3">
        <v>78</v>
      </c>
      <c r="I31" s="3">
        <v>55710</v>
      </c>
      <c r="J31" s="3">
        <v>54808</v>
      </c>
      <c r="K31" s="3">
        <v>93</v>
      </c>
      <c r="L31" s="4" t="s">
        <v>35</v>
      </c>
      <c r="M31" s="4"/>
      <c r="N31" s="4"/>
      <c r="O31" s="4"/>
      <c r="P31" s="5"/>
      <c r="Q31" s="12">
        <f t="shared" si="0"/>
        <v>5.7655717106444085E-2</v>
      </c>
    </row>
    <row r="32" spans="1:17" ht="15.6" x14ac:dyDescent="0.3">
      <c r="A32" s="3" t="s">
        <v>107</v>
      </c>
      <c r="B32" s="3" t="s">
        <v>31</v>
      </c>
      <c r="C32" s="3" t="s">
        <v>108</v>
      </c>
      <c r="D32" s="3" t="s">
        <v>21</v>
      </c>
      <c r="E32" s="3" t="s">
        <v>109</v>
      </c>
      <c r="F32" s="3">
        <v>438</v>
      </c>
      <c r="G32" s="3">
        <v>153</v>
      </c>
      <c r="H32" s="3">
        <v>275</v>
      </c>
      <c r="I32" s="3">
        <v>3066</v>
      </c>
      <c r="J32" s="3">
        <v>2701</v>
      </c>
      <c r="K32" s="3">
        <v>282</v>
      </c>
      <c r="L32" s="4" t="s">
        <v>28</v>
      </c>
      <c r="M32" s="4"/>
      <c r="N32" s="4"/>
      <c r="O32" s="4"/>
      <c r="P32" s="5" t="s">
        <v>23</v>
      </c>
      <c r="Q32" s="12">
        <f t="shared" si="0"/>
        <v>0.28245270711024134</v>
      </c>
    </row>
    <row r="33" spans="1:17" ht="15.6" x14ac:dyDescent="0.3">
      <c r="A33" s="3" t="s">
        <v>110</v>
      </c>
      <c r="B33" s="3" t="s">
        <v>14</v>
      </c>
      <c r="C33" s="3" t="s">
        <v>111</v>
      </c>
      <c r="D33" s="3" t="s">
        <v>42</v>
      </c>
      <c r="E33" s="3" t="s">
        <v>46</v>
      </c>
      <c r="F33" s="3">
        <v>2278</v>
      </c>
      <c r="G33" s="3">
        <v>10</v>
      </c>
      <c r="H33" s="3">
        <v>321</v>
      </c>
      <c r="I33" s="3">
        <v>13668</v>
      </c>
      <c r="J33" s="3">
        <v>12676</v>
      </c>
      <c r="K33" s="3">
        <v>275</v>
      </c>
      <c r="L33" s="4" t="s">
        <v>35</v>
      </c>
      <c r="M33" s="4"/>
      <c r="N33" s="4"/>
      <c r="O33" s="4"/>
      <c r="P33" s="5" t="s">
        <v>18</v>
      </c>
      <c r="Q33" s="12">
        <f t="shared" si="0"/>
        <v>0.19088381621305239</v>
      </c>
    </row>
    <row r="34" spans="1:17" ht="15.6" x14ac:dyDescent="0.3">
      <c r="A34" s="3" t="s">
        <v>112</v>
      </c>
      <c r="B34" s="3" t="s">
        <v>40</v>
      </c>
      <c r="C34" s="3" t="s">
        <v>113</v>
      </c>
      <c r="D34" s="3" t="s">
        <v>49</v>
      </c>
      <c r="E34" s="3" t="s">
        <v>56</v>
      </c>
      <c r="F34" s="3">
        <v>1407</v>
      </c>
      <c r="G34" s="3">
        <v>400</v>
      </c>
      <c r="H34" s="3">
        <v>351</v>
      </c>
      <c r="I34" s="3">
        <v>16884</v>
      </c>
      <c r="J34" s="3">
        <v>15954</v>
      </c>
      <c r="K34" s="3">
        <v>113</v>
      </c>
      <c r="L34" s="4" t="s">
        <v>28</v>
      </c>
      <c r="M34" s="4"/>
      <c r="N34" s="4"/>
      <c r="O34" s="4"/>
      <c r="P34" s="5" t="s">
        <v>18</v>
      </c>
      <c r="Q34" s="12">
        <f t="shared" si="0"/>
        <v>0.12781331438047855</v>
      </c>
    </row>
    <row r="35" spans="1:17" ht="15.6" x14ac:dyDescent="0.3">
      <c r="A35" s="3" t="s">
        <v>114</v>
      </c>
      <c r="B35" s="3" t="s">
        <v>40</v>
      </c>
      <c r="C35" s="3" t="s">
        <v>115</v>
      </c>
      <c r="D35" s="3" t="s">
        <v>21</v>
      </c>
      <c r="E35" s="3" t="s">
        <v>53</v>
      </c>
      <c r="F35" s="3">
        <v>1652</v>
      </c>
      <c r="G35" s="3">
        <v>89</v>
      </c>
      <c r="H35" s="3">
        <v>357</v>
      </c>
      <c r="I35" s="3">
        <v>29736</v>
      </c>
      <c r="J35" s="3">
        <v>28771</v>
      </c>
      <c r="K35" s="3">
        <v>215</v>
      </c>
      <c r="L35" s="4" t="s">
        <v>28</v>
      </c>
      <c r="M35" s="4"/>
      <c r="N35" s="4"/>
      <c r="O35" s="4"/>
      <c r="P35" s="5" t="s">
        <v>29</v>
      </c>
      <c r="Q35" s="12">
        <f t="shared" si="0"/>
        <v>7.055421038471886E-2</v>
      </c>
    </row>
    <row r="36" spans="1:17" ht="15.6" x14ac:dyDescent="0.3">
      <c r="A36" s="3" t="s">
        <v>116</v>
      </c>
      <c r="B36" s="3" t="s">
        <v>31</v>
      </c>
      <c r="C36" s="3" t="s">
        <v>117</v>
      </c>
      <c r="D36" s="3" t="s">
        <v>71</v>
      </c>
      <c r="E36" s="3" t="s">
        <v>82</v>
      </c>
      <c r="F36" s="3">
        <v>3775</v>
      </c>
      <c r="G36" s="3">
        <v>16</v>
      </c>
      <c r="H36" s="3">
        <v>239</v>
      </c>
      <c r="I36" s="3">
        <v>33975</v>
      </c>
      <c r="J36" s="3">
        <v>33310</v>
      </c>
      <c r="K36" s="3">
        <v>271</v>
      </c>
      <c r="L36" s="4" t="s">
        <v>59</v>
      </c>
      <c r="M36" s="4"/>
      <c r="N36" s="4"/>
      <c r="O36" s="4"/>
      <c r="P36" s="5" t="s">
        <v>23</v>
      </c>
      <c r="Q36" s="12">
        <f t="shared" si="0"/>
        <v>0.11861662987490802</v>
      </c>
    </row>
    <row r="37" spans="1:17" ht="15.6" x14ac:dyDescent="0.3">
      <c r="A37" s="3" t="s">
        <v>118</v>
      </c>
      <c r="B37" s="3" t="s">
        <v>31</v>
      </c>
      <c r="C37" s="3" t="s">
        <v>119</v>
      </c>
      <c r="D37" s="3" t="s">
        <v>33</v>
      </c>
      <c r="E37" s="3" t="s">
        <v>34</v>
      </c>
      <c r="F37" s="3">
        <v>4518</v>
      </c>
      <c r="G37" s="3">
        <v>285</v>
      </c>
      <c r="H37" s="3">
        <v>383</v>
      </c>
      <c r="I37" s="3">
        <v>67770</v>
      </c>
      <c r="J37" s="3">
        <v>67621</v>
      </c>
      <c r="K37" s="3">
        <v>31</v>
      </c>
      <c r="L37" s="4" t="s">
        <v>35</v>
      </c>
      <c r="M37" s="4"/>
      <c r="N37" s="4"/>
      <c r="O37" s="4"/>
      <c r="P37" s="5" t="s">
        <v>23</v>
      </c>
      <c r="Q37" s="12">
        <f t="shared" si="0"/>
        <v>7.6523535487678915E-2</v>
      </c>
    </row>
    <row r="38" spans="1:17" ht="15.6" x14ac:dyDescent="0.3">
      <c r="A38" s="3" t="s">
        <v>120</v>
      </c>
      <c r="B38" s="3" t="s">
        <v>40</v>
      </c>
      <c r="C38" s="3" t="s">
        <v>121</v>
      </c>
      <c r="D38" s="3" t="s">
        <v>42</v>
      </c>
      <c r="E38" s="3" t="s">
        <v>43</v>
      </c>
      <c r="F38" s="3">
        <v>3024</v>
      </c>
      <c r="G38" s="3">
        <v>925</v>
      </c>
      <c r="H38" s="3">
        <v>350</v>
      </c>
      <c r="I38" s="3">
        <v>24192</v>
      </c>
      <c r="J38" s="3">
        <v>23518</v>
      </c>
      <c r="K38" s="3">
        <v>36</v>
      </c>
      <c r="L38" s="4" t="s">
        <v>35</v>
      </c>
      <c r="M38" s="4"/>
      <c r="N38" s="4"/>
      <c r="O38" s="4"/>
      <c r="P38" s="5" t="s">
        <v>23</v>
      </c>
      <c r="Q38" s="12">
        <f t="shared" si="0"/>
        <v>0.17770337301587302</v>
      </c>
    </row>
    <row r="39" spans="1:17" ht="15.6" x14ac:dyDescent="0.3">
      <c r="A39" s="3" t="s">
        <v>122</v>
      </c>
      <c r="B39" s="3" t="s">
        <v>25</v>
      </c>
      <c r="C39" s="3" t="s">
        <v>123</v>
      </c>
      <c r="D39" s="3" t="s">
        <v>16</v>
      </c>
      <c r="E39" s="3" t="s">
        <v>27</v>
      </c>
      <c r="F39" s="3">
        <v>3138</v>
      </c>
      <c r="G39" s="3">
        <v>123</v>
      </c>
      <c r="H39" s="3">
        <v>291</v>
      </c>
      <c r="I39" s="3">
        <v>28242</v>
      </c>
      <c r="J39" s="3">
        <v>27550</v>
      </c>
      <c r="K39" s="3">
        <v>87</v>
      </c>
      <c r="L39" s="4" t="s">
        <v>28</v>
      </c>
      <c r="M39" s="4"/>
      <c r="N39" s="4"/>
      <c r="O39" s="4"/>
      <c r="P39" s="5" t="s">
        <v>36</v>
      </c>
      <c r="Q39" s="12">
        <f t="shared" si="0"/>
        <v>0.12577012959422137</v>
      </c>
    </row>
    <row r="40" spans="1:17" ht="15.6" x14ac:dyDescent="0.3">
      <c r="A40" s="3" t="s">
        <v>124</v>
      </c>
      <c r="B40" s="3" t="s">
        <v>40</v>
      </c>
      <c r="C40" s="3" t="s">
        <v>125</v>
      </c>
      <c r="D40" s="3" t="s">
        <v>49</v>
      </c>
      <c r="E40" s="3" t="s">
        <v>56</v>
      </c>
      <c r="F40" s="3">
        <v>3564</v>
      </c>
      <c r="G40" s="3">
        <v>629</v>
      </c>
      <c r="H40" s="3">
        <v>177</v>
      </c>
      <c r="I40" s="3">
        <v>60588</v>
      </c>
      <c r="J40" s="3">
        <v>59627</v>
      </c>
      <c r="K40" s="3">
        <v>92</v>
      </c>
      <c r="L40" s="4" t="s">
        <v>28</v>
      </c>
      <c r="M40" s="4"/>
      <c r="N40" s="4"/>
      <c r="O40" s="4"/>
      <c r="P40" s="5"/>
      <c r="Q40" s="12">
        <f t="shared" si="0"/>
        <v>7.2126493695121141E-2</v>
      </c>
    </row>
    <row r="41" spans="1:17" ht="15.6" x14ac:dyDescent="0.3">
      <c r="A41" s="3" t="s">
        <v>126</v>
      </c>
      <c r="B41" s="3" t="s">
        <v>14</v>
      </c>
      <c r="C41" s="3" t="s">
        <v>127</v>
      </c>
      <c r="D41" s="3" t="s">
        <v>49</v>
      </c>
      <c r="E41" s="3" t="s">
        <v>128</v>
      </c>
      <c r="F41" s="3">
        <v>4750</v>
      </c>
      <c r="G41" s="3">
        <v>151</v>
      </c>
      <c r="H41" s="3">
        <v>415</v>
      </c>
      <c r="I41" s="3">
        <v>38000</v>
      </c>
      <c r="J41" s="3">
        <v>37792</v>
      </c>
      <c r="K41" s="3">
        <v>299</v>
      </c>
      <c r="L41" s="4" t="s">
        <v>35</v>
      </c>
      <c r="M41" s="4"/>
      <c r="N41" s="4"/>
      <c r="O41" s="4"/>
      <c r="P41" s="5" t="s">
        <v>36</v>
      </c>
      <c r="Q41" s="12">
        <f t="shared" si="0"/>
        <v>0.13989473684210527</v>
      </c>
    </row>
    <row r="42" spans="1:17" ht="15.6" x14ac:dyDescent="0.3">
      <c r="A42" s="3" t="s">
        <v>129</v>
      </c>
      <c r="B42" s="3" t="s">
        <v>31</v>
      </c>
      <c r="C42" s="3" t="s">
        <v>130</v>
      </c>
      <c r="D42" s="3" t="s">
        <v>16</v>
      </c>
      <c r="E42" s="3" t="s">
        <v>79</v>
      </c>
      <c r="F42" s="3">
        <v>456</v>
      </c>
      <c r="G42" s="3">
        <v>629</v>
      </c>
      <c r="H42" s="3">
        <v>428</v>
      </c>
      <c r="I42" s="3">
        <v>8208</v>
      </c>
      <c r="J42" s="3">
        <v>7377</v>
      </c>
      <c r="K42" s="3">
        <v>205</v>
      </c>
      <c r="L42" s="4" t="s">
        <v>59</v>
      </c>
      <c r="M42" s="4"/>
      <c r="N42" s="4"/>
      <c r="O42" s="4"/>
      <c r="P42" s="5" t="s">
        <v>36</v>
      </c>
      <c r="Q42" s="12">
        <f t="shared" si="0"/>
        <v>0.18433235867446393</v>
      </c>
    </row>
    <row r="43" spans="1:17" ht="15.6" x14ac:dyDescent="0.3">
      <c r="A43" s="3" t="s">
        <v>131</v>
      </c>
      <c r="B43" s="3" t="s">
        <v>25</v>
      </c>
      <c r="C43" s="3" t="s">
        <v>132</v>
      </c>
      <c r="D43" s="3" t="s">
        <v>16</v>
      </c>
      <c r="E43" s="3" t="s">
        <v>27</v>
      </c>
      <c r="F43" s="3">
        <v>1543</v>
      </c>
      <c r="G43" s="3">
        <v>820</v>
      </c>
      <c r="H43" s="3">
        <v>333</v>
      </c>
      <c r="I43" s="3">
        <v>12344</v>
      </c>
      <c r="J43" s="3">
        <v>11496</v>
      </c>
      <c r="K43" s="3">
        <v>241</v>
      </c>
      <c r="L43" s="4" t="s">
        <v>35</v>
      </c>
      <c r="M43" s="4"/>
      <c r="N43" s="4"/>
      <c r="O43" s="4"/>
      <c r="P43" s="5"/>
      <c r="Q43" s="12">
        <f t="shared" si="0"/>
        <v>0.21840570317563188</v>
      </c>
    </row>
    <row r="44" spans="1:17" ht="15.6" x14ac:dyDescent="0.3">
      <c r="A44" s="3" t="s">
        <v>133</v>
      </c>
      <c r="B44" s="3" t="s">
        <v>31</v>
      </c>
      <c r="C44" s="3" t="s">
        <v>134</v>
      </c>
      <c r="D44" s="3" t="s">
        <v>42</v>
      </c>
      <c r="E44" s="3" t="s">
        <v>85</v>
      </c>
      <c r="F44" s="3">
        <v>2174</v>
      </c>
      <c r="G44" s="3">
        <v>658</v>
      </c>
      <c r="H44" s="3">
        <v>15</v>
      </c>
      <c r="I44" s="3">
        <v>13044</v>
      </c>
      <c r="J44" s="3">
        <v>12206</v>
      </c>
      <c r="K44" s="3">
        <v>137</v>
      </c>
      <c r="L44" s="4" t="s">
        <v>28</v>
      </c>
      <c r="M44" s="4"/>
      <c r="N44" s="4"/>
      <c r="O44" s="4"/>
      <c r="P44" s="5" t="s">
        <v>29</v>
      </c>
      <c r="Q44" s="12">
        <f t="shared" si="0"/>
        <v>0.21826126954921804</v>
      </c>
    </row>
    <row r="45" spans="1:17" ht="15.6" x14ac:dyDescent="0.3">
      <c r="A45" s="3" t="s">
        <v>135</v>
      </c>
      <c r="B45" s="3" t="s">
        <v>14</v>
      </c>
      <c r="C45" s="3" t="s">
        <v>136</v>
      </c>
      <c r="D45" s="3" t="s">
        <v>49</v>
      </c>
      <c r="E45" s="3" t="s">
        <v>128</v>
      </c>
      <c r="F45" s="3">
        <v>2358</v>
      </c>
      <c r="G45" s="3">
        <v>784</v>
      </c>
      <c r="H45" s="3">
        <v>344</v>
      </c>
      <c r="I45" s="3">
        <v>35370</v>
      </c>
      <c r="J45" s="3">
        <v>34475</v>
      </c>
      <c r="K45" s="3">
        <v>216</v>
      </c>
      <c r="L45" s="4" t="s">
        <v>28</v>
      </c>
      <c r="M45" s="4"/>
      <c r="N45" s="4"/>
      <c r="O45" s="4"/>
      <c r="P45" s="5"/>
      <c r="Q45" s="12">
        <f t="shared" si="0"/>
        <v>9.8558100084817649E-2</v>
      </c>
    </row>
    <row r="46" spans="1:17" ht="15.6" x14ac:dyDescent="0.3">
      <c r="A46" s="3" t="s">
        <v>137</v>
      </c>
      <c r="B46" s="3" t="s">
        <v>40</v>
      </c>
      <c r="C46" s="3" t="s">
        <v>138</v>
      </c>
      <c r="D46" s="3" t="s">
        <v>71</v>
      </c>
      <c r="E46" s="3" t="s">
        <v>72</v>
      </c>
      <c r="F46" s="3">
        <v>3371</v>
      </c>
      <c r="G46" s="3">
        <v>106</v>
      </c>
      <c r="H46" s="3">
        <v>327</v>
      </c>
      <c r="I46" s="3">
        <v>50565</v>
      </c>
      <c r="J46" s="3">
        <v>49816</v>
      </c>
      <c r="K46" s="3">
        <v>176</v>
      </c>
      <c r="L46" s="4" t="s">
        <v>59</v>
      </c>
      <c r="M46" s="4"/>
      <c r="N46" s="4"/>
      <c r="O46" s="4"/>
      <c r="P46" s="5" t="s">
        <v>18</v>
      </c>
      <c r="Q46" s="12">
        <f t="shared" si="0"/>
        <v>7.5229902106199939E-2</v>
      </c>
    </row>
    <row r="47" spans="1:17" ht="15.6" x14ac:dyDescent="0.3">
      <c r="A47" s="3" t="s">
        <v>139</v>
      </c>
      <c r="B47" s="3" t="s">
        <v>14</v>
      </c>
      <c r="C47" s="3" t="s">
        <v>140</v>
      </c>
      <c r="D47" s="3" t="s">
        <v>71</v>
      </c>
      <c r="E47" s="3" t="s">
        <v>141</v>
      </c>
      <c r="F47" s="3">
        <v>1108</v>
      </c>
      <c r="G47" s="3">
        <v>177</v>
      </c>
      <c r="H47" s="3">
        <v>212</v>
      </c>
      <c r="I47" s="3">
        <v>8864</v>
      </c>
      <c r="J47" s="3">
        <v>8710</v>
      </c>
      <c r="K47" s="3">
        <v>97</v>
      </c>
      <c r="L47" s="4" t="s">
        <v>28</v>
      </c>
      <c r="M47" s="4"/>
      <c r="N47" s="4"/>
      <c r="O47" s="4"/>
      <c r="P47" s="5" t="s">
        <v>36</v>
      </c>
      <c r="Q47" s="12">
        <f t="shared" si="0"/>
        <v>0.16888537906137185</v>
      </c>
    </row>
    <row r="48" spans="1:17" ht="15.6" x14ac:dyDescent="0.3">
      <c r="A48" s="3" t="s">
        <v>142</v>
      </c>
      <c r="B48" s="3" t="s">
        <v>14</v>
      </c>
      <c r="C48" s="3" t="s">
        <v>143</v>
      </c>
      <c r="D48" s="3" t="s">
        <v>42</v>
      </c>
      <c r="E48" s="3" t="s">
        <v>46</v>
      </c>
      <c r="F48" s="3">
        <v>2704</v>
      </c>
      <c r="G48" s="3">
        <v>752</v>
      </c>
      <c r="H48" s="3">
        <v>153</v>
      </c>
      <c r="I48" s="3">
        <v>21632</v>
      </c>
      <c r="J48" s="3">
        <v>20792</v>
      </c>
      <c r="K48" s="3">
        <v>127</v>
      </c>
      <c r="L48" s="4" t="s">
        <v>59</v>
      </c>
      <c r="M48" s="4"/>
      <c r="N48" s="4"/>
      <c r="O48" s="4"/>
      <c r="P48" s="5"/>
      <c r="Q48" s="12">
        <f t="shared" si="0"/>
        <v>0.16683616863905326</v>
      </c>
    </row>
    <row r="49" spans="1:17" ht="15.6" x14ac:dyDescent="0.3">
      <c r="A49" s="3" t="s">
        <v>144</v>
      </c>
      <c r="B49" s="3" t="s">
        <v>14</v>
      </c>
      <c r="C49" s="3" t="s">
        <v>55</v>
      </c>
      <c r="D49" s="3" t="s">
        <v>33</v>
      </c>
      <c r="E49" s="3" t="s">
        <v>145</v>
      </c>
      <c r="F49" s="3">
        <v>1950</v>
      </c>
      <c r="G49" s="3">
        <v>295</v>
      </c>
      <c r="H49" s="3">
        <v>478</v>
      </c>
      <c r="I49" s="3">
        <v>37050</v>
      </c>
      <c r="J49" s="3">
        <v>36272</v>
      </c>
      <c r="K49" s="3">
        <v>119</v>
      </c>
      <c r="L49" s="4" t="s">
        <v>28</v>
      </c>
      <c r="M49" s="4"/>
      <c r="N49" s="4"/>
      <c r="O49" s="4"/>
      <c r="P49" s="5"/>
      <c r="Q49" s="12">
        <f t="shared" si="0"/>
        <v>7.349527665317139E-2</v>
      </c>
    </row>
    <row r="50" spans="1:17" ht="15.6" x14ac:dyDescent="0.3">
      <c r="A50" s="3" t="s">
        <v>146</v>
      </c>
      <c r="B50" s="3" t="s">
        <v>14</v>
      </c>
      <c r="C50" s="3" t="s">
        <v>147</v>
      </c>
      <c r="D50" s="3" t="s">
        <v>33</v>
      </c>
      <c r="E50" s="3" t="s">
        <v>145</v>
      </c>
      <c r="F50" s="3">
        <v>2164</v>
      </c>
      <c r="G50" s="3">
        <v>549</v>
      </c>
      <c r="H50" s="3">
        <v>274</v>
      </c>
      <c r="I50" s="3">
        <v>28132</v>
      </c>
      <c r="J50" s="3">
        <v>27361</v>
      </c>
      <c r="K50" s="3">
        <v>177</v>
      </c>
      <c r="L50" s="4" t="s">
        <v>28</v>
      </c>
      <c r="M50" s="4"/>
      <c r="N50" s="4"/>
      <c r="O50" s="4"/>
      <c r="P50" s="5" t="s">
        <v>36</v>
      </c>
      <c r="Q50" s="12">
        <f t="shared" si="0"/>
        <v>0.10617801791554102</v>
      </c>
    </row>
    <row r="51" spans="1:17" ht="15.6" x14ac:dyDescent="0.3">
      <c r="A51" s="3" t="s">
        <v>148</v>
      </c>
      <c r="B51" s="3" t="s">
        <v>25</v>
      </c>
      <c r="C51" s="3" t="s">
        <v>149</v>
      </c>
      <c r="D51" s="3" t="s">
        <v>33</v>
      </c>
      <c r="E51" s="3" t="s">
        <v>150</v>
      </c>
      <c r="F51" s="3">
        <v>2754</v>
      </c>
      <c r="G51" s="3">
        <v>130</v>
      </c>
      <c r="H51" s="3">
        <v>90</v>
      </c>
      <c r="I51" s="3">
        <v>22032</v>
      </c>
      <c r="J51" s="3">
        <v>21288</v>
      </c>
      <c r="K51" s="3">
        <v>112</v>
      </c>
      <c r="L51" s="4" t="s">
        <v>28</v>
      </c>
      <c r="M51" s="4"/>
      <c r="N51" s="4"/>
      <c r="O51" s="4"/>
      <c r="P51" s="5" t="s">
        <v>29</v>
      </c>
      <c r="Q51" s="12">
        <f t="shared" si="0"/>
        <v>0.13498547567175018</v>
      </c>
    </row>
    <row r="52" spans="1:17" ht="15.6" x14ac:dyDescent="0.3">
      <c r="A52" s="3" t="s">
        <v>151</v>
      </c>
      <c r="B52" s="3" t="s">
        <v>40</v>
      </c>
      <c r="C52" s="3" t="s">
        <v>152</v>
      </c>
      <c r="D52" s="3" t="s">
        <v>42</v>
      </c>
      <c r="E52" s="3" t="s">
        <v>43</v>
      </c>
      <c r="F52" s="3">
        <v>2200</v>
      </c>
      <c r="G52" s="3">
        <v>504</v>
      </c>
      <c r="H52" s="3">
        <v>239</v>
      </c>
      <c r="I52" s="3">
        <v>37400</v>
      </c>
      <c r="J52" s="3">
        <v>36938</v>
      </c>
      <c r="K52" s="3">
        <v>225</v>
      </c>
      <c r="L52" s="4" t="s">
        <v>59</v>
      </c>
      <c r="M52" s="4"/>
      <c r="N52" s="4"/>
      <c r="O52" s="4"/>
      <c r="P52" s="5" t="s">
        <v>23</v>
      </c>
      <c r="Q52" s="12">
        <f t="shared" si="0"/>
        <v>7.8689839572192513E-2</v>
      </c>
    </row>
    <row r="53" spans="1:17" ht="15.6" x14ac:dyDescent="0.3">
      <c r="A53" s="3" t="s">
        <v>153</v>
      </c>
      <c r="B53" s="3" t="s">
        <v>40</v>
      </c>
      <c r="C53" s="3" t="s">
        <v>154</v>
      </c>
      <c r="D53" s="3" t="s">
        <v>49</v>
      </c>
      <c r="E53" s="3" t="s">
        <v>56</v>
      </c>
      <c r="F53" s="3">
        <v>947</v>
      </c>
      <c r="G53" s="3">
        <v>338</v>
      </c>
      <c r="H53" s="3">
        <v>350</v>
      </c>
      <c r="I53" s="3">
        <v>10417</v>
      </c>
      <c r="J53" s="3">
        <v>9730</v>
      </c>
      <c r="K53" s="3">
        <v>34</v>
      </c>
      <c r="L53" s="4" t="s">
        <v>28</v>
      </c>
      <c r="M53" s="4"/>
      <c r="N53" s="4"/>
      <c r="O53" s="4"/>
      <c r="P53" s="5" t="s">
        <v>36</v>
      </c>
      <c r="Q53" s="12">
        <f t="shared" si="0"/>
        <v>0.1569549774407219</v>
      </c>
    </row>
    <row r="54" spans="1:17" ht="15.6" x14ac:dyDescent="0.3">
      <c r="A54" s="3" t="s">
        <v>155</v>
      </c>
      <c r="B54" s="3" t="s">
        <v>25</v>
      </c>
      <c r="C54" s="3" t="s">
        <v>143</v>
      </c>
      <c r="D54" s="3" t="s">
        <v>42</v>
      </c>
      <c r="E54" s="3" t="s">
        <v>65</v>
      </c>
      <c r="F54" s="3">
        <v>804</v>
      </c>
      <c r="G54" s="3">
        <v>639</v>
      </c>
      <c r="H54" s="3">
        <v>43</v>
      </c>
      <c r="I54" s="3">
        <v>4020</v>
      </c>
      <c r="J54" s="3">
        <v>3144</v>
      </c>
      <c r="K54" s="3">
        <v>11</v>
      </c>
      <c r="L54" s="4" t="s">
        <v>35</v>
      </c>
      <c r="M54" s="4" t="s">
        <v>553</v>
      </c>
      <c r="N54" s="4"/>
      <c r="O54" s="4"/>
      <c r="P54" s="5"/>
      <c r="Q54" s="12">
        <f t="shared" si="0"/>
        <v>0.36965174129353234</v>
      </c>
    </row>
    <row r="55" spans="1:17" ht="15.6" x14ac:dyDescent="0.3">
      <c r="A55" s="3" t="s">
        <v>156</v>
      </c>
      <c r="B55" s="3" t="s">
        <v>25</v>
      </c>
      <c r="C55" s="3" t="s">
        <v>157</v>
      </c>
      <c r="D55" s="3" t="s">
        <v>42</v>
      </c>
      <c r="E55" s="3" t="s">
        <v>65</v>
      </c>
      <c r="F55" s="3">
        <v>1686</v>
      </c>
      <c r="G55" s="3">
        <v>904</v>
      </c>
      <c r="H55" s="3">
        <v>472</v>
      </c>
      <c r="I55" s="3">
        <v>18546</v>
      </c>
      <c r="J55" s="3">
        <v>18171</v>
      </c>
      <c r="K55" s="3">
        <v>52</v>
      </c>
      <c r="L55" s="4" t="s">
        <v>59</v>
      </c>
      <c r="M55" s="4"/>
      <c r="N55" s="4"/>
      <c r="O55" s="4"/>
      <c r="P55" s="5" t="s">
        <v>23</v>
      </c>
      <c r="Q55" s="12">
        <f t="shared" si="0"/>
        <v>0.16510298716704411</v>
      </c>
    </row>
    <row r="56" spans="1:17" ht="15.6" x14ac:dyDescent="0.3">
      <c r="A56" s="3" t="s">
        <v>158</v>
      </c>
      <c r="B56" s="3" t="s">
        <v>40</v>
      </c>
      <c r="C56" s="3" t="s">
        <v>159</v>
      </c>
      <c r="D56" s="3" t="s">
        <v>49</v>
      </c>
      <c r="E56" s="3" t="s">
        <v>56</v>
      </c>
      <c r="F56" s="3">
        <v>1226</v>
      </c>
      <c r="G56" s="3">
        <v>119</v>
      </c>
      <c r="H56" s="3">
        <v>7</v>
      </c>
      <c r="I56" s="3">
        <v>14712</v>
      </c>
      <c r="J56" s="3">
        <v>14049</v>
      </c>
      <c r="K56" s="3">
        <v>123</v>
      </c>
      <c r="L56" s="4" t="s">
        <v>35</v>
      </c>
      <c r="M56" s="4"/>
      <c r="N56" s="4"/>
      <c r="O56" s="4"/>
      <c r="P56" s="5" t="s">
        <v>36</v>
      </c>
      <c r="Q56" s="12">
        <f t="shared" si="0"/>
        <v>9.1897770527460579E-2</v>
      </c>
    </row>
    <row r="57" spans="1:17" ht="15.6" x14ac:dyDescent="0.3">
      <c r="A57" s="3" t="s">
        <v>160</v>
      </c>
      <c r="B57" s="3" t="s">
        <v>40</v>
      </c>
      <c r="C57" s="3" t="s">
        <v>161</v>
      </c>
      <c r="D57" s="3" t="s">
        <v>42</v>
      </c>
      <c r="E57" s="3" t="s">
        <v>43</v>
      </c>
      <c r="F57" s="3">
        <v>2946</v>
      </c>
      <c r="G57" s="3">
        <v>498</v>
      </c>
      <c r="H57" s="3">
        <v>367</v>
      </c>
      <c r="I57" s="3">
        <v>29460</v>
      </c>
      <c r="J57" s="3">
        <v>28527</v>
      </c>
      <c r="K57" s="3">
        <v>60</v>
      </c>
      <c r="L57" s="4" t="s">
        <v>59</v>
      </c>
      <c r="M57" s="4"/>
      <c r="N57" s="4"/>
      <c r="O57" s="4"/>
      <c r="P57" s="5" t="s">
        <v>29</v>
      </c>
      <c r="Q57" s="12">
        <f t="shared" si="0"/>
        <v>0.12936184657162253</v>
      </c>
    </row>
    <row r="58" spans="1:17" ht="15.6" x14ac:dyDescent="0.3">
      <c r="A58" s="3" t="s">
        <v>162</v>
      </c>
      <c r="B58" s="3" t="s">
        <v>14</v>
      </c>
      <c r="C58" s="3" t="s">
        <v>163</v>
      </c>
      <c r="D58" s="3" t="s">
        <v>71</v>
      </c>
      <c r="E58" s="3" t="s">
        <v>141</v>
      </c>
      <c r="F58" s="3">
        <v>2825</v>
      </c>
      <c r="G58" s="3">
        <v>535</v>
      </c>
      <c r="H58" s="3">
        <v>295</v>
      </c>
      <c r="I58" s="3">
        <v>45200</v>
      </c>
      <c r="J58" s="3">
        <v>44739</v>
      </c>
      <c r="K58" s="3">
        <v>169</v>
      </c>
      <c r="L58" s="4" t="s">
        <v>28</v>
      </c>
      <c r="M58" s="4"/>
      <c r="N58" s="4"/>
      <c r="O58" s="4"/>
      <c r="P58" s="5" t="s">
        <v>18</v>
      </c>
      <c r="Q58" s="12">
        <f t="shared" si="0"/>
        <v>8.0862831858407078E-2</v>
      </c>
    </row>
    <row r="59" spans="1:17" ht="15.6" x14ac:dyDescent="0.3">
      <c r="A59" s="3" t="s">
        <v>164</v>
      </c>
      <c r="B59" s="3" t="s">
        <v>31</v>
      </c>
      <c r="C59" s="3" t="s">
        <v>165</v>
      </c>
      <c r="D59" s="3" t="s">
        <v>16</v>
      </c>
      <c r="E59" s="3" t="s">
        <v>79</v>
      </c>
      <c r="F59" s="3">
        <v>103</v>
      </c>
      <c r="G59" s="3">
        <v>770</v>
      </c>
      <c r="H59" s="3">
        <v>19</v>
      </c>
      <c r="I59" s="3">
        <v>1030</v>
      </c>
      <c r="J59" s="3">
        <v>410</v>
      </c>
      <c r="K59" s="3">
        <v>262</v>
      </c>
      <c r="L59" s="4" t="s">
        <v>28</v>
      </c>
      <c r="M59" s="4"/>
      <c r="N59" s="4"/>
      <c r="O59" s="4"/>
      <c r="P59" s="5" t="s">
        <v>36</v>
      </c>
      <c r="Q59" s="12">
        <f t="shared" si="0"/>
        <v>0.86601941747572819</v>
      </c>
    </row>
    <row r="60" spans="1:17" ht="15.6" x14ac:dyDescent="0.3">
      <c r="A60" s="3" t="s">
        <v>166</v>
      </c>
      <c r="B60" s="3" t="s">
        <v>31</v>
      </c>
      <c r="C60" s="3" t="s">
        <v>167</v>
      </c>
      <c r="D60" s="3" t="s">
        <v>21</v>
      </c>
      <c r="E60" s="3" t="s">
        <v>109</v>
      </c>
      <c r="F60" s="3">
        <v>2180</v>
      </c>
      <c r="G60" s="3">
        <v>263</v>
      </c>
      <c r="H60" s="3">
        <v>387</v>
      </c>
      <c r="I60" s="3">
        <v>30520</v>
      </c>
      <c r="J60" s="3">
        <v>30059</v>
      </c>
      <c r="K60" s="3">
        <v>174</v>
      </c>
      <c r="L60" s="4" t="s">
        <v>35</v>
      </c>
      <c r="M60" s="4"/>
      <c r="N60" s="4"/>
      <c r="O60" s="4"/>
      <c r="P60" s="5"/>
      <c r="Q60" s="12">
        <f t="shared" si="0"/>
        <v>9.2726081258191345E-2</v>
      </c>
    </row>
    <row r="61" spans="1:17" ht="15.6" x14ac:dyDescent="0.3">
      <c r="A61" s="3" t="s">
        <v>168</v>
      </c>
      <c r="B61" s="3" t="s">
        <v>31</v>
      </c>
      <c r="C61" s="3" t="s">
        <v>169</v>
      </c>
      <c r="D61" s="3" t="s">
        <v>71</v>
      </c>
      <c r="E61" s="3" t="s">
        <v>82</v>
      </c>
      <c r="F61" s="3">
        <v>904</v>
      </c>
      <c r="G61" s="3">
        <v>973</v>
      </c>
      <c r="H61" s="3">
        <v>63</v>
      </c>
      <c r="I61" s="3">
        <v>11752</v>
      </c>
      <c r="J61" s="3">
        <v>11580</v>
      </c>
      <c r="K61" s="3">
        <v>84</v>
      </c>
      <c r="L61" s="4" t="s">
        <v>35</v>
      </c>
      <c r="M61" s="4" t="s">
        <v>28</v>
      </c>
      <c r="N61" s="4" t="s">
        <v>552</v>
      </c>
      <c r="O61" s="4"/>
      <c r="P61" s="5" t="s">
        <v>29</v>
      </c>
      <c r="Q61" s="12">
        <f t="shared" si="0"/>
        <v>0.1650782845473111</v>
      </c>
    </row>
    <row r="62" spans="1:17" ht="15.6" x14ac:dyDescent="0.3">
      <c r="A62" s="3" t="s">
        <v>170</v>
      </c>
      <c r="B62" s="3" t="s">
        <v>14</v>
      </c>
      <c r="C62" s="3" t="s">
        <v>171</v>
      </c>
      <c r="D62" s="3" t="s">
        <v>71</v>
      </c>
      <c r="E62" s="3" t="s">
        <v>141</v>
      </c>
      <c r="F62" s="3">
        <v>4886</v>
      </c>
      <c r="G62" s="3">
        <v>983</v>
      </c>
      <c r="H62" s="3">
        <v>409</v>
      </c>
      <c r="I62" s="3">
        <v>43974</v>
      </c>
      <c r="J62" s="3">
        <v>43239</v>
      </c>
      <c r="K62" s="3">
        <v>65</v>
      </c>
      <c r="L62" s="4" t="s">
        <v>28</v>
      </c>
      <c r="M62" s="4"/>
      <c r="N62" s="4"/>
      <c r="O62" s="4"/>
      <c r="P62" s="5" t="s">
        <v>18</v>
      </c>
      <c r="Q62" s="12">
        <f t="shared" si="0"/>
        <v>0.14276618001546368</v>
      </c>
    </row>
    <row r="63" spans="1:17" ht="15.6" x14ac:dyDescent="0.3">
      <c r="A63" s="3" t="s">
        <v>172</v>
      </c>
      <c r="B63" s="3" t="s">
        <v>14</v>
      </c>
      <c r="C63" s="3" t="s">
        <v>173</v>
      </c>
      <c r="D63" s="3" t="s">
        <v>42</v>
      </c>
      <c r="E63" s="3" t="s">
        <v>46</v>
      </c>
      <c r="F63" s="3">
        <v>53</v>
      </c>
      <c r="G63" s="3">
        <v>81</v>
      </c>
      <c r="H63" s="3">
        <v>379</v>
      </c>
      <c r="I63" s="3">
        <v>954</v>
      </c>
      <c r="J63" s="3">
        <v>7</v>
      </c>
      <c r="K63" s="3">
        <v>148</v>
      </c>
      <c r="L63" s="4" t="s">
        <v>28</v>
      </c>
      <c r="M63" s="4"/>
      <c r="N63" s="4"/>
      <c r="O63" s="4"/>
      <c r="P63" s="5" t="s">
        <v>29</v>
      </c>
      <c r="Q63" s="12">
        <f t="shared" si="0"/>
        <v>0.53773584905660377</v>
      </c>
    </row>
    <row r="64" spans="1:17" ht="15.6" x14ac:dyDescent="0.3">
      <c r="A64" s="3" t="s">
        <v>174</v>
      </c>
      <c r="B64" s="3" t="s">
        <v>14</v>
      </c>
      <c r="C64" s="3" t="s">
        <v>111</v>
      </c>
      <c r="D64" s="3" t="s">
        <v>42</v>
      </c>
      <c r="E64" s="3" t="s">
        <v>46</v>
      </c>
      <c r="F64" s="3">
        <v>4507</v>
      </c>
      <c r="G64" s="3">
        <v>217</v>
      </c>
      <c r="H64" s="3">
        <v>13</v>
      </c>
      <c r="I64" s="3">
        <v>90140</v>
      </c>
      <c r="J64" s="3">
        <v>89591</v>
      </c>
      <c r="K64" s="3">
        <v>125</v>
      </c>
      <c r="L64" s="4" t="s">
        <v>59</v>
      </c>
      <c r="M64" s="4"/>
      <c r="N64" s="4"/>
      <c r="O64" s="4"/>
      <c r="P64" s="5" t="s">
        <v>29</v>
      </c>
      <c r="Q64" s="12">
        <f t="shared" si="0"/>
        <v>5.2551586421122697E-2</v>
      </c>
    </row>
    <row r="65" spans="1:17" ht="15.6" x14ac:dyDescent="0.3">
      <c r="A65" s="3" t="s">
        <v>175</v>
      </c>
      <c r="B65" s="3" t="s">
        <v>40</v>
      </c>
      <c r="C65" s="3" t="s">
        <v>176</v>
      </c>
      <c r="D65" s="3" t="s">
        <v>49</v>
      </c>
      <c r="E65" s="3" t="s">
        <v>56</v>
      </c>
      <c r="F65" s="3">
        <v>2878</v>
      </c>
      <c r="G65" s="3">
        <v>248</v>
      </c>
      <c r="H65" s="3">
        <v>416</v>
      </c>
      <c r="I65" s="3">
        <v>43170</v>
      </c>
      <c r="J65" s="3">
        <v>42667</v>
      </c>
      <c r="K65" s="3">
        <v>75</v>
      </c>
      <c r="L65" s="4" t="s">
        <v>59</v>
      </c>
      <c r="M65" s="4"/>
      <c r="N65" s="4"/>
      <c r="O65" s="4"/>
      <c r="P65" s="5" t="s">
        <v>29</v>
      </c>
      <c r="Q65" s="12">
        <f t="shared" si="0"/>
        <v>8.2047718322909427E-2</v>
      </c>
    </row>
    <row r="66" spans="1:17" ht="15.6" x14ac:dyDescent="0.3">
      <c r="A66" s="3" t="s">
        <v>177</v>
      </c>
      <c r="B66" s="3" t="s">
        <v>31</v>
      </c>
      <c r="C66" s="3" t="s">
        <v>178</v>
      </c>
      <c r="D66" s="3" t="s">
        <v>33</v>
      </c>
      <c r="E66" s="3" t="s">
        <v>34</v>
      </c>
      <c r="F66" s="3">
        <v>1881</v>
      </c>
      <c r="G66" s="3">
        <v>501</v>
      </c>
      <c r="H66" s="3">
        <v>99</v>
      </c>
      <c r="I66" s="3">
        <v>20691</v>
      </c>
      <c r="J66" s="3">
        <v>19987</v>
      </c>
      <c r="K66" s="3">
        <v>289</v>
      </c>
      <c r="L66" s="4" t="s">
        <v>35</v>
      </c>
      <c r="M66" s="4"/>
      <c r="N66" s="4"/>
      <c r="O66" s="4"/>
      <c r="P66" s="5"/>
      <c r="Q66" s="12">
        <f t="shared" ref="Q66:Q129" si="1">(F66+G66+H66)/I66</f>
        <v>0.11990720603160794</v>
      </c>
    </row>
    <row r="67" spans="1:17" ht="15.6" x14ac:dyDescent="0.3">
      <c r="A67" s="3" t="s">
        <v>179</v>
      </c>
      <c r="B67" s="3" t="s">
        <v>14</v>
      </c>
      <c r="C67" s="3" t="s">
        <v>180</v>
      </c>
      <c r="D67" s="3" t="s">
        <v>42</v>
      </c>
      <c r="E67" s="3" t="s">
        <v>46</v>
      </c>
      <c r="F67" s="3">
        <v>432</v>
      </c>
      <c r="G67" s="3">
        <v>171</v>
      </c>
      <c r="H67" s="3">
        <v>280</v>
      </c>
      <c r="I67" s="3">
        <v>3024</v>
      </c>
      <c r="J67" s="3">
        <v>2285</v>
      </c>
      <c r="K67" s="3">
        <v>184</v>
      </c>
      <c r="L67" s="4" t="s">
        <v>35</v>
      </c>
      <c r="M67" s="4"/>
      <c r="N67" s="4"/>
      <c r="O67" s="4"/>
      <c r="P67" s="5" t="s">
        <v>18</v>
      </c>
      <c r="Q67" s="12">
        <f t="shared" si="1"/>
        <v>0.29199735449735448</v>
      </c>
    </row>
    <row r="68" spans="1:17" ht="15.6" x14ac:dyDescent="0.3">
      <c r="A68" s="3" t="s">
        <v>181</v>
      </c>
      <c r="B68" s="3" t="s">
        <v>40</v>
      </c>
      <c r="C68" s="3" t="s">
        <v>182</v>
      </c>
      <c r="D68" s="3" t="s">
        <v>42</v>
      </c>
      <c r="E68" s="3" t="s">
        <v>43</v>
      </c>
      <c r="F68" s="3">
        <v>4712</v>
      </c>
      <c r="G68" s="3">
        <v>568</v>
      </c>
      <c r="H68" s="3">
        <v>127</v>
      </c>
      <c r="I68" s="3">
        <v>84816</v>
      </c>
      <c r="J68" s="3">
        <v>84691</v>
      </c>
      <c r="K68" s="3">
        <v>100</v>
      </c>
      <c r="L68" s="4" t="s">
        <v>35</v>
      </c>
      <c r="M68" s="4"/>
      <c r="N68" s="4"/>
      <c r="O68" s="4"/>
      <c r="P68" s="5" t="s">
        <v>29</v>
      </c>
      <c r="Q68" s="12">
        <f t="shared" si="1"/>
        <v>6.3749764195434822E-2</v>
      </c>
    </row>
    <row r="69" spans="1:17" ht="15.6" x14ac:dyDescent="0.3">
      <c r="A69" s="3" t="s">
        <v>183</v>
      </c>
      <c r="B69" s="3" t="s">
        <v>31</v>
      </c>
      <c r="C69" s="3" t="s">
        <v>184</v>
      </c>
      <c r="D69" s="3" t="s">
        <v>33</v>
      </c>
      <c r="E69" s="3" t="s">
        <v>34</v>
      </c>
      <c r="F69" s="3">
        <v>2610</v>
      </c>
      <c r="G69" s="3">
        <v>126</v>
      </c>
      <c r="H69" s="3">
        <v>288</v>
      </c>
      <c r="I69" s="3">
        <v>15660</v>
      </c>
      <c r="J69" s="3">
        <v>15145</v>
      </c>
      <c r="K69" s="3">
        <v>73</v>
      </c>
      <c r="L69" s="4" t="s">
        <v>35</v>
      </c>
      <c r="M69" s="4"/>
      <c r="N69" s="4"/>
      <c r="O69" s="4"/>
      <c r="P69" s="5"/>
      <c r="Q69" s="12">
        <f t="shared" si="1"/>
        <v>0.19310344827586207</v>
      </c>
    </row>
    <row r="70" spans="1:17" ht="15.6" x14ac:dyDescent="0.3">
      <c r="A70" s="3" t="s">
        <v>185</v>
      </c>
      <c r="B70" s="3" t="s">
        <v>14</v>
      </c>
      <c r="C70" s="3" t="s">
        <v>130</v>
      </c>
      <c r="D70" s="3" t="s">
        <v>21</v>
      </c>
      <c r="E70" s="3" t="s">
        <v>22</v>
      </c>
      <c r="F70" s="3">
        <v>1292</v>
      </c>
      <c r="G70" s="3">
        <v>626</v>
      </c>
      <c r="H70" s="3">
        <v>496</v>
      </c>
      <c r="I70" s="3">
        <v>25840</v>
      </c>
      <c r="J70" s="3">
        <v>24916</v>
      </c>
      <c r="K70" s="3">
        <v>149</v>
      </c>
      <c r="L70" s="4" t="s">
        <v>59</v>
      </c>
      <c r="M70" s="4"/>
      <c r="N70" s="4"/>
      <c r="O70" s="4"/>
      <c r="P70" s="5" t="s">
        <v>29</v>
      </c>
      <c r="Q70" s="12">
        <f t="shared" si="1"/>
        <v>9.3421052631578946E-2</v>
      </c>
    </row>
    <row r="71" spans="1:17" ht="15.6" x14ac:dyDescent="0.3">
      <c r="A71" s="3" t="s">
        <v>186</v>
      </c>
      <c r="B71" s="3" t="s">
        <v>40</v>
      </c>
      <c r="C71" s="3" t="s">
        <v>187</v>
      </c>
      <c r="D71" s="3" t="s">
        <v>71</v>
      </c>
      <c r="E71" s="3" t="s">
        <v>72</v>
      </c>
      <c r="F71" s="3">
        <v>199</v>
      </c>
      <c r="G71" s="3">
        <v>772</v>
      </c>
      <c r="H71" s="3">
        <v>400</v>
      </c>
      <c r="I71" s="3">
        <v>3582</v>
      </c>
      <c r="J71" s="3">
        <v>2988</v>
      </c>
      <c r="K71" s="3">
        <v>43</v>
      </c>
      <c r="L71" s="4" t="s">
        <v>28</v>
      </c>
      <c r="M71" s="4"/>
      <c r="N71" s="4"/>
      <c r="O71" s="4"/>
      <c r="P71" s="5"/>
      <c r="Q71" s="12">
        <f t="shared" si="1"/>
        <v>0.38274706867671693</v>
      </c>
    </row>
    <row r="72" spans="1:17" ht="15.6" x14ac:dyDescent="0.3">
      <c r="A72" s="3" t="s">
        <v>188</v>
      </c>
      <c r="B72" s="3" t="s">
        <v>25</v>
      </c>
      <c r="C72" s="3" t="s">
        <v>189</v>
      </c>
      <c r="D72" s="3" t="s">
        <v>42</v>
      </c>
      <c r="E72" s="3" t="s">
        <v>65</v>
      </c>
      <c r="F72" s="3">
        <v>2551</v>
      </c>
      <c r="G72" s="3">
        <v>915</v>
      </c>
      <c r="H72" s="3">
        <v>205</v>
      </c>
      <c r="I72" s="3">
        <v>30612</v>
      </c>
      <c r="J72" s="3">
        <v>30360</v>
      </c>
      <c r="K72" s="3">
        <v>227</v>
      </c>
      <c r="L72" s="4" t="s">
        <v>28</v>
      </c>
      <c r="M72" s="4"/>
      <c r="N72" s="4"/>
      <c r="O72" s="4"/>
      <c r="P72" s="5" t="s">
        <v>23</v>
      </c>
      <c r="Q72" s="12">
        <f t="shared" si="1"/>
        <v>0.1199202926956749</v>
      </c>
    </row>
    <row r="73" spans="1:17" ht="15.6" x14ac:dyDescent="0.3">
      <c r="A73" s="3" t="s">
        <v>190</v>
      </c>
      <c r="B73" s="3" t="s">
        <v>25</v>
      </c>
      <c r="C73" s="3" t="s">
        <v>191</v>
      </c>
      <c r="D73" s="3" t="s">
        <v>16</v>
      </c>
      <c r="E73" s="3" t="s">
        <v>27</v>
      </c>
      <c r="F73" s="3">
        <v>296</v>
      </c>
      <c r="G73" s="3">
        <v>60</v>
      </c>
      <c r="H73" s="3">
        <v>141</v>
      </c>
      <c r="I73" s="3">
        <v>5624</v>
      </c>
      <c r="J73" s="3">
        <v>5239</v>
      </c>
      <c r="K73" s="3">
        <v>88</v>
      </c>
      <c r="L73" s="4" t="s">
        <v>35</v>
      </c>
      <c r="M73" s="4"/>
      <c r="N73" s="4"/>
      <c r="O73" s="4"/>
      <c r="P73" s="5" t="s">
        <v>23</v>
      </c>
      <c r="Q73" s="12">
        <f t="shared" si="1"/>
        <v>8.837126600284495E-2</v>
      </c>
    </row>
    <row r="74" spans="1:17" ht="15.6" x14ac:dyDescent="0.3">
      <c r="A74" s="3" t="s">
        <v>192</v>
      </c>
      <c r="B74" s="3" t="s">
        <v>40</v>
      </c>
      <c r="C74" s="3" t="s">
        <v>193</v>
      </c>
      <c r="D74" s="3" t="s">
        <v>33</v>
      </c>
      <c r="E74" s="3" t="s">
        <v>68</v>
      </c>
      <c r="F74" s="3">
        <v>4126</v>
      </c>
      <c r="G74" s="3">
        <v>426</v>
      </c>
      <c r="H74" s="3">
        <v>486</v>
      </c>
      <c r="I74" s="3">
        <v>78394</v>
      </c>
      <c r="J74" s="3">
        <v>77798</v>
      </c>
      <c r="K74" s="3">
        <v>88</v>
      </c>
      <c r="L74" s="4" t="s">
        <v>59</v>
      </c>
      <c r="M74" s="4"/>
      <c r="N74" s="4"/>
      <c r="O74" s="4"/>
      <c r="P74" s="5" t="s">
        <v>36</v>
      </c>
      <c r="Q74" s="12">
        <f t="shared" si="1"/>
        <v>6.4265122330790625E-2</v>
      </c>
    </row>
    <row r="75" spans="1:17" ht="15.6" x14ac:dyDescent="0.3">
      <c r="A75" s="3" t="s">
        <v>194</v>
      </c>
      <c r="B75" s="3" t="s">
        <v>25</v>
      </c>
      <c r="C75" s="3" t="s">
        <v>195</v>
      </c>
      <c r="D75" s="3" t="s">
        <v>16</v>
      </c>
      <c r="E75" s="3" t="s">
        <v>27</v>
      </c>
      <c r="F75" s="3">
        <v>1855</v>
      </c>
      <c r="G75" s="3">
        <v>200</v>
      </c>
      <c r="H75" s="3">
        <v>174</v>
      </c>
      <c r="I75" s="3">
        <v>16695</v>
      </c>
      <c r="J75" s="3">
        <v>16330</v>
      </c>
      <c r="K75" s="3">
        <v>123</v>
      </c>
      <c r="L75" s="4" t="s">
        <v>28</v>
      </c>
      <c r="M75" s="4"/>
      <c r="N75" s="4"/>
      <c r="O75" s="4"/>
      <c r="P75" s="5" t="s">
        <v>29</v>
      </c>
      <c r="Q75" s="12">
        <f t="shared" si="1"/>
        <v>0.13351302785265048</v>
      </c>
    </row>
    <row r="76" spans="1:17" ht="15.6" x14ac:dyDescent="0.3">
      <c r="A76" s="3" t="s">
        <v>196</v>
      </c>
      <c r="B76" s="3" t="s">
        <v>31</v>
      </c>
      <c r="C76" s="3" t="s">
        <v>197</v>
      </c>
      <c r="D76" s="3" t="s">
        <v>16</v>
      </c>
      <c r="E76" s="3" t="s">
        <v>79</v>
      </c>
      <c r="F76" s="3">
        <v>1674</v>
      </c>
      <c r="G76" s="3">
        <v>929</v>
      </c>
      <c r="H76" s="3">
        <v>37</v>
      </c>
      <c r="I76" s="3">
        <v>21762</v>
      </c>
      <c r="J76" s="3">
        <v>20998</v>
      </c>
      <c r="K76" s="3">
        <v>255</v>
      </c>
      <c r="L76" s="4" t="s">
        <v>28</v>
      </c>
      <c r="M76" s="4"/>
      <c r="N76" s="4"/>
      <c r="O76" s="4"/>
      <c r="P76" s="5" t="s">
        <v>36</v>
      </c>
      <c r="Q76" s="12">
        <f t="shared" si="1"/>
        <v>0.12131237937689551</v>
      </c>
    </row>
    <row r="77" spans="1:17" ht="15.6" x14ac:dyDescent="0.3">
      <c r="A77" s="3" t="s">
        <v>198</v>
      </c>
      <c r="B77" s="3" t="s">
        <v>14</v>
      </c>
      <c r="C77" s="3" t="s">
        <v>199</v>
      </c>
      <c r="D77" s="3" t="s">
        <v>33</v>
      </c>
      <c r="E77" s="3" t="s">
        <v>145</v>
      </c>
      <c r="F77" s="3">
        <v>1121</v>
      </c>
      <c r="G77" s="3">
        <v>135</v>
      </c>
      <c r="H77" s="3">
        <v>18</v>
      </c>
      <c r="I77" s="3">
        <v>15694</v>
      </c>
      <c r="J77" s="3">
        <v>14957</v>
      </c>
      <c r="K77" s="3">
        <v>99</v>
      </c>
      <c r="L77" s="4" t="s">
        <v>28</v>
      </c>
      <c r="M77" s="4"/>
      <c r="N77" s="4"/>
      <c r="O77" s="4"/>
      <c r="P77" s="5" t="s">
        <v>36</v>
      </c>
      <c r="Q77" s="12">
        <f t="shared" si="1"/>
        <v>8.1177520071364848E-2</v>
      </c>
    </row>
    <row r="78" spans="1:17" ht="15.6" x14ac:dyDescent="0.3">
      <c r="A78" s="3" t="s">
        <v>200</v>
      </c>
      <c r="B78" s="3" t="s">
        <v>40</v>
      </c>
      <c r="C78" s="3" t="s">
        <v>102</v>
      </c>
      <c r="D78" s="3" t="s">
        <v>33</v>
      </c>
      <c r="E78" s="3" t="s">
        <v>68</v>
      </c>
      <c r="F78" s="3">
        <v>1249</v>
      </c>
      <c r="G78" s="3">
        <v>116</v>
      </c>
      <c r="H78" s="3">
        <v>420</v>
      </c>
      <c r="I78" s="3">
        <v>8743</v>
      </c>
      <c r="J78" s="3">
        <v>8538</v>
      </c>
      <c r="K78" s="3">
        <v>63</v>
      </c>
      <c r="L78" s="4" t="s">
        <v>28</v>
      </c>
      <c r="M78" s="4"/>
      <c r="N78" s="4"/>
      <c r="O78" s="4"/>
      <c r="P78" s="5"/>
      <c r="Q78" s="12">
        <f t="shared" si="1"/>
        <v>0.20416333066453163</v>
      </c>
    </row>
    <row r="79" spans="1:17" ht="15.6" x14ac:dyDescent="0.3">
      <c r="A79" s="3" t="s">
        <v>201</v>
      </c>
      <c r="B79" s="3" t="s">
        <v>14</v>
      </c>
      <c r="C79" s="3" t="s">
        <v>159</v>
      </c>
      <c r="D79" s="3" t="s">
        <v>49</v>
      </c>
      <c r="E79" s="3" t="s">
        <v>128</v>
      </c>
      <c r="F79" s="3">
        <v>954</v>
      </c>
      <c r="G79" s="3">
        <v>324</v>
      </c>
      <c r="H79" s="3">
        <v>288</v>
      </c>
      <c r="I79" s="3">
        <v>19080</v>
      </c>
      <c r="J79" s="3">
        <v>18859</v>
      </c>
      <c r="K79" s="3">
        <v>21</v>
      </c>
      <c r="L79" s="4" t="s">
        <v>59</v>
      </c>
      <c r="M79" s="4"/>
      <c r="N79" s="4"/>
      <c r="O79" s="4"/>
      <c r="P79" s="5" t="s">
        <v>36</v>
      </c>
      <c r="Q79" s="12">
        <f t="shared" si="1"/>
        <v>8.2075471698113203E-2</v>
      </c>
    </row>
    <row r="80" spans="1:17" ht="15.6" x14ac:dyDescent="0.3">
      <c r="A80" s="3" t="s">
        <v>202</v>
      </c>
      <c r="B80" s="3" t="s">
        <v>31</v>
      </c>
      <c r="C80" s="3" t="s">
        <v>203</v>
      </c>
      <c r="D80" s="3" t="s">
        <v>42</v>
      </c>
      <c r="E80" s="3" t="s">
        <v>85</v>
      </c>
      <c r="F80" s="3">
        <v>3068</v>
      </c>
      <c r="G80" s="3">
        <v>137</v>
      </c>
      <c r="H80" s="3">
        <v>329</v>
      </c>
      <c r="I80" s="3">
        <v>39884</v>
      </c>
      <c r="J80" s="3">
        <v>39404</v>
      </c>
      <c r="K80" s="3">
        <v>266</v>
      </c>
      <c r="L80" s="4" t="s">
        <v>35</v>
      </c>
      <c r="M80" s="4"/>
      <c r="N80" s="4"/>
      <c r="O80" s="4"/>
      <c r="P80" s="5" t="s">
        <v>23</v>
      </c>
      <c r="Q80" s="12">
        <f t="shared" si="1"/>
        <v>8.860696018453515E-2</v>
      </c>
    </row>
    <row r="81" spans="1:17" ht="15.6" x14ac:dyDescent="0.3">
      <c r="A81" s="3" t="s">
        <v>204</v>
      </c>
      <c r="B81" s="3" t="s">
        <v>31</v>
      </c>
      <c r="C81" s="3" t="s">
        <v>152</v>
      </c>
      <c r="D81" s="3" t="s">
        <v>33</v>
      </c>
      <c r="E81" s="3" t="s">
        <v>34</v>
      </c>
      <c r="F81" s="3">
        <v>2103</v>
      </c>
      <c r="G81" s="3">
        <v>892</v>
      </c>
      <c r="H81" s="3">
        <v>103</v>
      </c>
      <c r="I81" s="3">
        <v>39957</v>
      </c>
      <c r="J81" s="3">
        <v>39466</v>
      </c>
      <c r="K81" s="3">
        <v>28</v>
      </c>
      <c r="L81" s="4" t="s">
        <v>59</v>
      </c>
      <c r="M81" s="4"/>
      <c r="N81" s="4"/>
      <c r="O81" s="4"/>
      <c r="P81" s="5"/>
      <c r="Q81" s="12">
        <f t="shared" si="1"/>
        <v>7.7533348349475686E-2</v>
      </c>
    </row>
    <row r="82" spans="1:17" ht="15.6" x14ac:dyDescent="0.3">
      <c r="A82" s="3" t="s">
        <v>205</v>
      </c>
      <c r="B82" s="3" t="s">
        <v>31</v>
      </c>
      <c r="C82" s="3" t="s">
        <v>206</v>
      </c>
      <c r="D82" s="3" t="s">
        <v>33</v>
      </c>
      <c r="E82" s="3" t="s">
        <v>34</v>
      </c>
      <c r="F82" s="3">
        <v>1816</v>
      </c>
      <c r="G82" s="3">
        <v>29</v>
      </c>
      <c r="H82" s="3">
        <v>41</v>
      </c>
      <c r="I82" s="3">
        <v>19976</v>
      </c>
      <c r="J82" s="3">
        <v>19262</v>
      </c>
      <c r="K82" s="3">
        <v>283</v>
      </c>
      <c r="L82" s="4" t="s">
        <v>28</v>
      </c>
      <c r="M82" s="4"/>
      <c r="N82" s="4"/>
      <c r="O82" s="4"/>
      <c r="P82" s="5" t="s">
        <v>29</v>
      </c>
      <c r="Q82" s="12">
        <f t="shared" si="1"/>
        <v>9.4413295955146179E-2</v>
      </c>
    </row>
    <row r="83" spans="1:17" ht="15.6" x14ac:dyDescent="0.3">
      <c r="A83" s="3" t="s">
        <v>207</v>
      </c>
      <c r="B83" s="3" t="s">
        <v>31</v>
      </c>
      <c r="C83" s="3" t="s">
        <v>208</v>
      </c>
      <c r="D83" s="3" t="s">
        <v>49</v>
      </c>
      <c r="E83" s="3" t="s">
        <v>209</v>
      </c>
      <c r="F83" s="3">
        <v>725</v>
      </c>
      <c r="G83" s="3">
        <v>88</v>
      </c>
      <c r="H83" s="3">
        <v>428</v>
      </c>
      <c r="I83" s="3">
        <v>14500</v>
      </c>
      <c r="J83" s="3">
        <v>13637</v>
      </c>
      <c r="K83" s="3">
        <v>200</v>
      </c>
      <c r="L83" s="4" t="s">
        <v>59</v>
      </c>
      <c r="M83" s="4" t="s">
        <v>28</v>
      </c>
      <c r="N83" s="4" t="s">
        <v>552</v>
      </c>
      <c r="O83" s="4"/>
      <c r="P83" s="5" t="s">
        <v>29</v>
      </c>
      <c r="Q83" s="12">
        <f t="shared" si="1"/>
        <v>8.558620689655172E-2</v>
      </c>
    </row>
    <row r="84" spans="1:17" ht="15.6" x14ac:dyDescent="0.3">
      <c r="A84" s="3" t="s">
        <v>210</v>
      </c>
      <c r="B84" s="3" t="s">
        <v>25</v>
      </c>
      <c r="C84" s="3" t="s">
        <v>211</v>
      </c>
      <c r="D84" s="3" t="s">
        <v>71</v>
      </c>
      <c r="E84" s="3" t="s">
        <v>212</v>
      </c>
      <c r="F84" s="3">
        <v>1094</v>
      </c>
      <c r="G84" s="3">
        <v>472</v>
      </c>
      <c r="H84" s="3">
        <v>21</v>
      </c>
      <c r="I84" s="3">
        <v>9846</v>
      </c>
      <c r="J84" s="3">
        <v>9609</v>
      </c>
      <c r="K84" s="3">
        <v>112</v>
      </c>
      <c r="L84" s="4" t="s">
        <v>35</v>
      </c>
      <c r="M84" s="4"/>
      <c r="N84" s="4"/>
      <c r="O84" s="4"/>
      <c r="P84" s="5"/>
      <c r="Q84" s="12">
        <f t="shared" si="1"/>
        <v>0.16118220597196831</v>
      </c>
    </row>
    <row r="85" spans="1:17" ht="15.6" x14ac:dyDescent="0.3">
      <c r="A85" s="3" t="s">
        <v>213</v>
      </c>
      <c r="B85" s="3" t="s">
        <v>40</v>
      </c>
      <c r="C85" s="3" t="s">
        <v>214</v>
      </c>
      <c r="D85" s="3" t="s">
        <v>49</v>
      </c>
      <c r="E85" s="3" t="s">
        <v>56</v>
      </c>
      <c r="F85" s="3">
        <v>1841</v>
      </c>
      <c r="G85" s="3">
        <v>851</v>
      </c>
      <c r="H85" s="3">
        <v>342</v>
      </c>
      <c r="I85" s="3">
        <v>34979</v>
      </c>
      <c r="J85" s="3">
        <v>34154</v>
      </c>
      <c r="K85" s="3">
        <v>255</v>
      </c>
      <c r="L85" s="4" t="s">
        <v>59</v>
      </c>
      <c r="M85" s="4"/>
      <c r="N85" s="4"/>
      <c r="O85" s="4"/>
      <c r="P85" s="5" t="s">
        <v>36</v>
      </c>
      <c r="Q85" s="12">
        <f t="shared" si="1"/>
        <v>8.6737756939878216E-2</v>
      </c>
    </row>
    <row r="86" spans="1:17" ht="15.6" x14ac:dyDescent="0.3">
      <c r="A86" s="3" t="s">
        <v>215</v>
      </c>
      <c r="B86" s="3" t="s">
        <v>31</v>
      </c>
      <c r="C86" s="3" t="s">
        <v>119</v>
      </c>
      <c r="D86" s="3" t="s">
        <v>49</v>
      </c>
      <c r="E86" s="3" t="s">
        <v>209</v>
      </c>
      <c r="F86" s="3">
        <v>4177</v>
      </c>
      <c r="G86" s="3">
        <v>569</v>
      </c>
      <c r="H86" s="3">
        <v>55</v>
      </c>
      <c r="I86" s="3">
        <v>25062</v>
      </c>
      <c r="J86" s="3">
        <v>24847</v>
      </c>
      <c r="K86" s="3">
        <v>230</v>
      </c>
      <c r="L86" s="4" t="s">
        <v>59</v>
      </c>
      <c r="M86" s="4"/>
      <c r="N86" s="4"/>
      <c r="O86" s="4"/>
      <c r="P86" s="5" t="s">
        <v>18</v>
      </c>
      <c r="Q86" s="12">
        <f t="shared" si="1"/>
        <v>0.19156491900087783</v>
      </c>
    </row>
    <row r="87" spans="1:17" ht="15.6" x14ac:dyDescent="0.3">
      <c r="A87" s="3" t="s">
        <v>216</v>
      </c>
      <c r="B87" s="3" t="s">
        <v>25</v>
      </c>
      <c r="C87" s="3" t="s">
        <v>217</v>
      </c>
      <c r="D87" s="3" t="s">
        <v>21</v>
      </c>
      <c r="E87" s="3" t="s">
        <v>100</v>
      </c>
      <c r="F87" s="3">
        <v>3428</v>
      </c>
      <c r="G87" s="3">
        <v>305</v>
      </c>
      <c r="H87" s="3">
        <v>85</v>
      </c>
      <c r="I87" s="3">
        <v>58276</v>
      </c>
      <c r="J87" s="3">
        <v>58052</v>
      </c>
      <c r="K87" s="3">
        <v>242</v>
      </c>
      <c r="L87" s="4" t="s">
        <v>35</v>
      </c>
      <c r="M87" s="4" t="s">
        <v>553</v>
      </c>
      <c r="N87" s="4"/>
      <c r="O87" s="4"/>
      <c r="P87" s="5" t="s">
        <v>36</v>
      </c>
      <c r="Q87" s="12">
        <f t="shared" si="1"/>
        <v>6.5515821264328367E-2</v>
      </c>
    </row>
    <row r="88" spans="1:17" ht="15.6" x14ac:dyDescent="0.3">
      <c r="A88" s="3" t="s">
        <v>218</v>
      </c>
      <c r="B88" s="3" t="s">
        <v>14</v>
      </c>
      <c r="C88" s="3" t="s">
        <v>219</v>
      </c>
      <c r="D88" s="3" t="s">
        <v>71</v>
      </c>
      <c r="E88" s="3" t="s">
        <v>141</v>
      </c>
      <c r="F88" s="3">
        <v>1436</v>
      </c>
      <c r="G88" s="3">
        <v>765</v>
      </c>
      <c r="H88" s="3">
        <v>496</v>
      </c>
      <c r="I88" s="3">
        <v>12924</v>
      </c>
      <c r="J88" s="3">
        <v>12701</v>
      </c>
      <c r="K88" s="3">
        <v>197</v>
      </c>
      <c r="L88" s="4" t="s">
        <v>59</v>
      </c>
      <c r="M88" s="4"/>
      <c r="N88" s="4"/>
      <c r="O88" s="4"/>
      <c r="P88" s="5" t="s">
        <v>29</v>
      </c>
      <c r="Q88" s="12">
        <f t="shared" si="1"/>
        <v>0.20868152274837512</v>
      </c>
    </row>
    <row r="89" spans="1:17" ht="15.6" x14ac:dyDescent="0.3">
      <c r="A89" s="3" t="s">
        <v>220</v>
      </c>
      <c r="B89" s="3" t="s">
        <v>40</v>
      </c>
      <c r="C89" s="3" t="s">
        <v>221</v>
      </c>
      <c r="D89" s="3" t="s">
        <v>33</v>
      </c>
      <c r="E89" s="3" t="s">
        <v>68</v>
      </c>
      <c r="F89" s="3">
        <v>302</v>
      </c>
      <c r="G89" s="3">
        <v>47</v>
      </c>
      <c r="H89" s="3">
        <v>430</v>
      </c>
      <c r="I89" s="3">
        <v>5738</v>
      </c>
      <c r="J89" s="3">
        <v>4890</v>
      </c>
      <c r="K89" s="3">
        <v>25</v>
      </c>
      <c r="L89" s="4" t="s">
        <v>28</v>
      </c>
      <c r="M89" s="4"/>
      <c r="N89" s="4"/>
      <c r="O89" s="4"/>
      <c r="P89" s="5" t="s">
        <v>36</v>
      </c>
      <c r="Q89" s="12">
        <f t="shared" si="1"/>
        <v>0.13576158940397351</v>
      </c>
    </row>
    <row r="90" spans="1:17" ht="15.6" x14ac:dyDescent="0.3">
      <c r="A90" s="3" t="s">
        <v>222</v>
      </c>
      <c r="B90" s="3" t="s">
        <v>14</v>
      </c>
      <c r="C90" s="3" t="s">
        <v>223</v>
      </c>
      <c r="D90" s="3" t="s">
        <v>49</v>
      </c>
      <c r="E90" s="3" t="s">
        <v>128</v>
      </c>
      <c r="F90" s="3">
        <v>2214</v>
      </c>
      <c r="G90" s="3">
        <v>249</v>
      </c>
      <c r="H90" s="3">
        <v>152</v>
      </c>
      <c r="I90" s="3">
        <v>15498</v>
      </c>
      <c r="J90" s="3">
        <v>14800</v>
      </c>
      <c r="K90" s="3">
        <v>180</v>
      </c>
      <c r="L90" s="4" t="s">
        <v>35</v>
      </c>
      <c r="M90" s="4"/>
      <c r="N90" s="4"/>
      <c r="O90" s="4"/>
      <c r="P90" s="5"/>
      <c r="Q90" s="12">
        <f t="shared" si="1"/>
        <v>0.16873144921925409</v>
      </c>
    </row>
    <row r="91" spans="1:17" ht="15.6" x14ac:dyDescent="0.3">
      <c r="A91" s="3" t="s">
        <v>224</v>
      </c>
      <c r="B91" s="3" t="s">
        <v>31</v>
      </c>
      <c r="C91" s="3" t="s">
        <v>225</v>
      </c>
      <c r="D91" s="3" t="s">
        <v>49</v>
      </c>
      <c r="E91" s="3" t="s">
        <v>209</v>
      </c>
      <c r="F91" s="3">
        <v>3861</v>
      </c>
      <c r="G91" s="3">
        <v>960</v>
      </c>
      <c r="H91" s="3">
        <v>101</v>
      </c>
      <c r="I91" s="3">
        <v>69498</v>
      </c>
      <c r="J91" s="3">
        <v>68817</v>
      </c>
      <c r="K91" s="3">
        <v>297</v>
      </c>
      <c r="L91" s="4" t="s">
        <v>28</v>
      </c>
      <c r="M91" s="4"/>
      <c r="N91" s="4"/>
      <c r="O91" s="4"/>
      <c r="P91" s="5" t="s">
        <v>36</v>
      </c>
      <c r="Q91" s="12">
        <f t="shared" si="1"/>
        <v>7.0822181933293038E-2</v>
      </c>
    </row>
    <row r="92" spans="1:17" ht="15.6" x14ac:dyDescent="0.3">
      <c r="A92" s="3" t="s">
        <v>226</v>
      </c>
      <c r="B92" s="3" t="s">
        <v>40</v>
      </c>
      <c r="C92" s="3" t="s">
        <v>227</v>
      </c>
      <c r="D92" s="3" t="s">
        <v>49</v>
      </c>
      <c r="E92" s="3" t="s">
        <v>56</v>
      </c>
      <c r="F92" s="3">
        <v>1263</v>
      </c>
      <c r="G92" s="3">
        <v>397</v>
      </c>
      <c r="H92" s="3">
        <v>357</v>
      </c>
      <c r="I92" s="3">
        <v>25260</v>
      </c>
      <c r="J92" s="3">
        <v>24615</v>
      </c>
      <c r="K92" s="3">
        <v>137</v>
      </c>
      <c r="L92" s="4" t="s">
        <v>35</v>
      </c>
      <c r="M92" s="4"/>
      <c r="N92" s="4"/>
      <c r="O92" s="4"/>
      <c r="P92" s="5" t="s">
        <v>36</v>
      </c>
      <c r="Q92" s="12">
        <f t="shared" si="1"/>
        <v>7.984956452889945E-2</v>
      </c>
    </row>
    <row r="93" spans="1:17" ht="15.6" x14ac:dyDescent="0.3">
      <c r="A93" s="3" t="s">
        <v>228</v>
      </c>
      <c r="B93" s="3" t="s">
        <v>14</v>
      </c>
      <c r="C93" s="3" t="s">
        <v>163</v>
      </c>
      <c r="D93" s="3" t="s">
        <v>33</v>
      </c>
      <c r="E93" s="3" t="s">
        <v>145</v>
      </c>
      <c r="F93" s="3">
        <v>3801</v>
      </c>
      <c r="G93" s="3">
        <v>967</v>
      </c>
      <c r="H93" s="3">
        <v>401</v>
      </c>
      <c r="I93" s="3">
        <v>38010</v>
      </c>
      <c r="J93" s="3">
        <v>37625</v>
      </c>
      <c r="K93" s="3">
        <v>236</v>
      </c>
      <c r="L93" s="4" t="s">
        <v>59</v>
      </c>
      <c r="M93" s="4"/>
      <c r="N93" s="4"/>
      <c r="O93" s="4"/>
      <c r="P93" s="5" t="s">
        <v>29</v>
      </c>
      <c r="Q93" s="12">
        <f t="shared" si="1"/>
        <v>0.13599052880820836</v>
      </c>
    </row>
    <row r="94" spans="1:17" ht="15.6" x14ac:dyDescent="0.3">
      <c r="A94" s="3" t="s">
        <v>229</v>
      </c>
      <c r="B94" s="3" t="s">
        <v>31</v>
      </c>
      <c r="C94" s="3" t="s">
        <v>230</v>
      </c>
      <c r="D94" s="3" t="s">
        <v>71</v>
      </c>
      <c r="E94" s="3" t="s">
        <v>82</v>
      </c>
      <c r="F94" s="3">
        <v>1431</v>
      </c>
      <c r="G94" s="3">
        <v>951</v>
      </c>
      <c r="H94" s="3">
        <v>26</v>
      </c>
      <c r="I94" s="3">
        <v>8586</v>
      </c>
      <c r="J94" s="3">
        <v>8396</v>
      </c>
      <c r="K94" s="3">
        <v>150</v>
      </c>
      <c r="L94" s="4" t="s">
        <v>35</v>
      </c>
      <c r="M94" s="4"/>
      <c r="N94" s="4"/>
      <c r="O94" s="4"/>
      <c r="P94" s="5" t="s">
        <v>29</v>
      </c>
      <c r="Q94" s="12">
        <f t="shared" si="1"/>
        <v>0.28045655718611695</v>
      </c>
    </row>
    <row r="95" spans="1:17" ht="15.6" x14ac:dyDescent="0.3">
      <c r="A95" s="3" t="s">
        <v>231</v>
      </c>
      <c r="B95" s="3" t="s">
        <v>31</v>
      </c>
      <c r="C95" s="3" t="s">
        <v>199</v>
      </c>
      <c r="D95" s="3" t="s">
        <v>49</v>
      </c>
      <c r="E95" s="3" t="s">
        <v>209</v>
      </c>
      <c r="F95" s="3">
        <v>2647</v>
      </c>
      <c r="G95" s="3">
        <v>304</v>
      </c>
      <c r="H95" s="3">
        <v>170</v>
      </c>
      <c r="I95" s="3">
        <v>18529</v>
      </c>
      <c r="J95" s="3">
        <v>17841</v>
      </c>
      <c r="K95" s="3">
        <v>46</v>
      </c>
      <c r="L95" s="4" t="s">
        <v>59</v>
      </c>
      <c r="M95" s="4"/>
      <c r="N95" s="4"/>
      <c r="O95" s="4"/>
      <c r="P95" s="5" t="s">
        <v>29</v>
      </c>
      <c r="Q95" s="12">
        <f t="shared" si="1"/>
        <v>0.16843866371633656</v>
      </c>
    </row>
    <row r="96" spans="1:17" ht="15.6" x14ac:dyDescent="0.3">
      <c r="A96" s="3" t="s">
        <v>232</v>
      </c>
      <c r="B96" s="3" t="s">
        <v>31</v>
      </c>
      <c r="C96" s="3" t="s">
        <v>233</v>
      </c>
      <c r="D96" s="3" t="s">
        <v>21</v>
      </c>
      <c r="E96" s="3" t="s">
        <v>109</v>
      </c>
      <c r="F96" s="3">
        <v>3182</v>
      </c>
      <c r="G96" s="3">
        <v>559</v>
      </c>
      <c r="H96" s="3">
        <v>160</v>
      </c>
      <c r="I96" s="3">
        <v>57276</v>
      </c>
      <c r="J96" s="3">
        <v>56890</v>
      </c>
      <c r="K96" s="3">
        <v>163</v>
      </c>
      <c r="L96" s="4" t="s">
        <v>59</v>
      </c>
      <c r="M96" s="4"/>
      <c r="N96" s="4"/>
      <c r="O96" s="4"/>
      <c r="P96" s="5" t="s">
        <v>36</v>
      </c>
      <c r="Q96" s="12">
        <f t="shared" si="1"/>
        <v>6.8108806480899509E-2</v>
      </c>
    </row>
    <row r="97" spans="1:17" ht="15.6" x14ac:dyDescent="0.3">
      <c r="A97" s="3" t="s">
        <v>234</v>
      </c>
      <c r="B97" s="3" t="s">
        <v>14</v>
      </c>
      <c r="C97" s="3" t="s">
        <v>235</v>
      </c>
      <c r="D97" s="3" t="s">
        <v>49</v>
      </c>
      <c r="E97" s="3" t="s">
        <v>128</v>
      </c>
      <c r="F97" s="3">
        <v>1238</v>
      </c>
      <c r="G97" s="3">
        <v>366</v>
      </c>
      <c r="H97" s="3">
        <v>444</v>
      </c>
      <c r="I97" s="3">
        <v>19808</v>
      </c>
      <c r="J97" s="3">
        <v>19334</v>
      </c>
      <c r="K97" s="3">
        <v>123</v>
      </c>
      <c r="L97" s="4" t="s">
        <v>59</v>
      </c>
      <c r="M97" s="4"/>
      <c r="N97" s="4"/>
      <c r="O97" s="4"/>
      <c r="P97" s="5"/>
      <c r="Q97" s="12">
        <f t="shared" si="1"/>
        <v>0.10339256865912763</v>
      </c>
    </row>
    <row r="98" spans="1:17" ht="15.6" x14ac:dyDescent="0.3">
      <c r="A98" s="3" t="s">
        <v>236</v>
      </c>
      <c r="B98" s="3" t="s">
        <v>31</v>
      </c>
      <c r="C98" s="3" t="s">
        <v>237</v>
      </c>
      <c r="D98" s="3" t="s">
        <v>49</v>
      </c>
      <c r="E98" s="3" t="s">
        <v>209</v>
      </c>
      <c r="F98" s="3">
        <v>4739</v>
      </c>
      <c r="G98" s="3">
        <v>527</v>
      </c>
      <c r="H98" s="3">
        <v>135</v>
      </c>
      <c r="I98" s="3">
        <v>61607</v>
      </c>
      <c r="J98" s="3">
        <v>61333</v>
      </c>
      <c r="K98" s="3">
        <v>36</v>
      </c>
      <c r="L98" s="4" t="s">
        <v>28</v>
      </c>
      <c r="M98" s="4" t="s">
        <v>552</v>
      </c>
      <c r="N98" s="4"/>
      <c r="O98" s="4"/>
      <c r="P98" s="5" t="s">
        <v>23</v>
      </c>
      <c r="Q98" s="12">
        <f t="shared" si="1"/>
        <v>8.7668609086629767E-2</v>
      </c>
    </row>
    <row r="99" spans="1:17" ht="15.6" x14ac:dyDescent="0.3">
      <c r="A99" s="3" t="s">
        <v>238</v>
      </c>
      <c r="B99" s="3" t="s">
        <v>14</v>
      </c>
      <c r="C99" s="3" t="s">
        <v>147</v>
      </c>
      <c r="D99" s="3" t="s">
        <v>33</v>
      </c>
      <c r="E99" s="3" t="s">
        <v>145</v>
      </c>
      <c r="F99" s="3">
        <v>1575</v>
      </c>
      <c r="G99" s="3">
        <v>771</v>
      </c>
      <c r="H99" s="3">
        <v>486</v>
      </c>
      <c r="I99" s="3">
        <v>25200</v>
      </c>
      <c r="J99" s="3">
        <v>24826</v>
      </c>
      <c r="K99" s="3">
        <v>17</v>
      </c>
      <c r="L99" s="4" t="s">
        <v>59</v>
      </c>
      <c r="M99" s="4"/>
      <c r="N99" s="4"/>
      <c r="O99" s="4"/>
      <c r="P99" s="5" t="s">
        <v>36</v>
      </c>
      <c r="Q99" s="12">
        <f t="shared" si="1"/>
        <v>0.11238095238095239</v>
      </c>
    </row>
    <row r="100" spans="1:17" ht="15.6" x14ac:dyDescent="0.3">
      <c r="A100" s="3" t="s">
        <v>239</v>
      </c>
      <c r="B100" s="3" t="s">
        <v>25</v>
      </c>
      <c r="C100" s="3" t="s">
        <v>240</v>
      </c>
      <c r="D100" s="3" t="s">
        <v>42</v>
      </c>
      <c r="E100" s="3" t="s">
        <v>65</v>
      </c>
      <c r="F100" s="3">
        <v>4171</v>
      </c>
      <c r="G100" s="3">
        <v>548</v>
      </c>
      <c r="H100" s="3">
        <v>86</v>
      </c>
      <c r="I100" s="3">
        <v>66736</v>
      </c>
      <c r="J100" s="3">
        <v>66634</v>
      </c>
      <c r="K100" s="3">
        <v>173</v>
      </c>
      <c r="L100" s="4" t="s">
        <v>59</v>
      </c>
      <c r="M100" s="4"/>
      <c r="N100" s="4"/>
      <c r="O100" s="4"/>
      <c r="P100" s="5" t="s">
        <v>29</v>
      </c>
      <c r="Q100" s="12">
        <f t="shared" si="1"/>
        <v>7.2000119875329657E-2</v>
      </c>
    </row>
    <row r="101" spans="1:17" ht="15.6" x14ac:dyDescent="0.3">
      <c r="A101" s="3" t="s">
        <v>241</v>
      </c>
      <c r="B101" s="3" t="s">
        <v>25</v>
      </c>
      <c r="C101" s="3" t="s">
        <v>242</v>
      </c>
      <c r="D101" s="3" t="s">
        <v>71</v>
      </c>
      <c r="E101" s="3" t="s">
        <v>212</v>
      </c>
      <c r="F101" s="3">
        <v>1766</v>
      </c>
      <c r="G101" s="3">
        <v>92</v>
      </c>
      <c r="H101" s="3">
        <v>424</v>
      </c>
      <c r="I101" s="3">
        <v>24724</v>
      </c>
      <c r="J101" s="3">
        <v>24333</v>
      </c>
      <c r="K101" s="3">
        <v>52</v>
      </c>
      <c r="L101" s="4" t="s">
        <v>35</v>
      </c>
      <c r="M101" s="4"/>
      <c r="N101" s="4"/>
      <c r="O101" s="4"/>
      <c r="P101" s="5"/>
      <c r="Q101" s="12">
        <f t="shared" si="1"/>
        <v>9.2298980747451867E-2</v>
      </c>
    </row>
    <row r="102" spans="1:17" ht="15.6" x14ac:dyDescent="0.3">
      <c r="A102" s="3" t="s">
        <v>243</v>
      </c>
      <c r="B102" s="3" t="s">
        <v>25</v>
      </c>
      <c r="C102" s="3" t="s">
        <v>193</v>
      </c>
      <c r="D102" s="3" t="s">
        <v>71</v>
      </c>
      <c r="E102" s="3" t="s">
        <v>212</v>
      </c>
      <c r="F102" s="3">
        <v>4450</v>
      </c>
      <c r="G102" s="3">
        <v>983</v>
      </c>
      <c r="H102" s="3">
        <v>143</v>
      </c>
      <c r="I102" s="3">
        <v>75650</v>
      </c>
      <c r="J102" s="3">
        <v>75008</v>
      </c>
      <c r="K102" s="3">
        <v>12</v>
      </c>
      <c r="L102" s="4" t="s">
        <v>59</v>
      </c>
      <c r="M102" s="4"/>
      <c r="N102" s="4"/>
      <c r="O102" s="4"/>
      <c r="P102" s="5" t="s">
        <v>29</v>
      </c>
      <c r="Q102" s="12">
        <f t="shared" si="1"/>
        <v>7.3707865168539333E-2</v>
      </c>
    </row>
    <row r="103" spans="1:17" ht="15.6" x14ac:dyDescent="0.3">
      <c r="A103" s="3" t="s">
        <v>244</v>
      </c>
      <c r="B103" s="3" t="s">
        <v>14</v>
      </c>
      <c r="C103" s="3" t="s">
        <v>245</v>
      </c>
      <c r="D103" s="3" t="s">
        <v>16</v>
      </c>
      <c r="E103" s="3" t="s">
        <v>17</v>
      </c>
      <c r="F103" s="3">
        <v>1000</v>
      </c>
      <c r="G103" s="3">
        <v>978</v>
      </c>
      <c r="H103" s="3">
        <v>162</v>
      </c>
      <c r="I103" s="3">
        <v>6000</v>
      </c>
      <c r="J103" s="3">
        <v>5221</v>
      </c>
      <c r="K103" s="3">
        <v>223</v>
      </c>
      <c r="L103" s="4" t="s">
        <v>35</v>
      </c>
      <c r="M103" s="4"/>
      <c r="N103" s="4"/>
      <c r="O103" s="4"/>
      <c r="P103" s="5" t="s">
        <v>23</v>
      </c>
      <c r="Q103" s="12">
        <f t="shared" si="1"/>
        <v>0.35666666666666669</v>
      </c>
    </row>
    <row r="104" spans="1:17" ht="15.6" x14ac:dyDescent="0.3">
      <c r="A104" s="3" t="s">
        <v>246</v>
      </c>
      <c r="B104" s="3" t="s">
        <v>40</v>
      </c>
      <c r="C104" s="3" t="s">
        <v>247</v>
      </c>
      <c r="D104" s="3" t="s">
        <v>49</v>
      </c>
      <c r="E104" s="3" t="s">
        <v>56</v>
      </c>
      <c r="F104" s="3">
        <v>3689</v>
      </c>
      <c r="G104" s="3">
        <v>48</v>
      </c>
      <c r="H104" s="3">
        <v>306</v>
      </c>
      <c r="I104" s="3">
        <v>40579</v>
      </c>
      <c r="J104" s="3">
        <v>39588</v>
      </c>
      <c r="K104" s="3">
        <v>212</v>
      </c>
      <c r="L104" s="4" t="s">
        <v>35</v>
      </c>
      <c r="M104" s="4"/>
      <c r="N104" s="4"/>
      <c r="O104" s="4"/>
      <c r="P104" s="5" t="s">
        <v>23</v>
      </c>
      <c r="Q104" s="12">
        <f t="shared" si="1"/>
        <v>9.9632815002833983E-2</v>
      </c>
    </row>
    <row r="105" spans="1:17" ht="15.6" x14ac:dyDescent="0.3">
      <c r="A105" s="3" t="s">
        <v>248</v>
      </c>
      <c r="B105" s="3" t="s">
        <v>25</v>
      </c>
      <c r="C105" s="3" t="s">
        <v>249</v>
      </c>
      <c r="D105" s="3" t="s">
        <v>33</v>
      </c>
      <c r="E105" s="3" t="s">
        <v>150</v>
      </c>
      <c r="F105" s="3">
        <v>3655</v>
      </c>
      <c r="G105" s="3">
        <v>568</v>
      </c>
      <c r="H105" s="3">
        <v>286</v>
      </c>
      <c r="I105" s="3">
        <v>32895</v>
      </c>
      <c r="J105" s="3">
        <v>32015</v>
      </c>
      <c r="K105" s="3">
        <v>199</v>
      </c>
      <c r="L105" s="4" t="s">
        <v>28</v>
      </c>
      <c r="M105" s="4"/>
      <c r="N105" s="4"/>
      <c r="O105" s="4"/>
      <c r="P105" s="5" t="s">
        <v>29</v>
      </c>
      <c r="Q105" s="12">
        <f t="shared" si="1"/>
        <v>0.13707250341997265</v>
      </c>
    </row>
    <row r="106" spans="1:17" ht="15.6" x14ac:dyDescent="0.3">
      <c r="A106" s="3" t="s">
        <v>250</v>
      </c>
      <c r="B106" s="3" t="s">
        <v>31</v>
      </c>
      <c r="C106" s="3" t="s">
        <v>251</v>
      </c>
      <c r="D106" s="3" t="s">
        <v>42</v>
      </c>
      <c r="E106" s="3" t="s">
        <v>85</v>
      </c>
      <c r="F106" s="3">
        <v>498</v>
      </c>
      <c r="G106" s="3">
        <v>38</v>
      </c>
      <c r="H106" s="3">
        <v>42</v>
      </c>
      <c r="I106" s="3">
        <v>4482</v>
      </c>
      <c r="J106" s="3">
        <v>3647</v>
      </c>
      <c r="K106" s="3">
        <v>32</v>
      </c>
      <c r="L106" s="4" t="s">
        <v>59</v>
      </c>
      <c r="M106" s="4"/>
      <c r="N106" s="4"/>
      <c r="O106" s="4"/>
      <c r="P106" s="5" t="s">
        <v>18</v>
      </c>
      <c r="Q106" s="12">
        <f t="shared" si="1"/>
        <v>0.12896028558679162</v>
      </c>
    </row>
    <row r="107" spans="1:17" ht="15.6" x14ac:dyDescent="0.3">
      <c r="A107" s="3" t="s">
        <v>252</v>
      </c>
      <c r="B107" s="3" t="s">
        <v>31</v>
      </c>
      <c r="C107" s="3" t="s">
        <v>253</v>
      </c>
      <c r="D107" s="3" t="s">
        <v>49</v>
      </c>
      <c r="E107" s="3" t="s">
        <v>209</v>
      </c>
      <c r="F107" s="3">
        <v>4619</v>
      </c>
      <c r="G107" s="3">
        <v>821</v>
      </c>
      <c r="H107" s="3">
        <v>499</v>
      </c>
      <c r="I107" s="3">
        <v>69285</v>
      </c>
      <c r="J107" s="3">
        <v>69141</v>
      </c>
      <c r="K107" s="3">
        <v>298</v>
      </c>
      <c r="L107" s="4" t="s">
        <v>28</v>
      </c>
      <c r="M107" s="4"/>
      <c r="N107" s="4"/>
      <c r="O107" s="4"/>
      <c r="P107" s="5" t="s">
        <v>36</v>
      </c>
      <c r="Q107" s="12">
        <f t="shared" si="1"/>
        <v>8.5718409468138843E-2</v>
      </c>
    </row>
    <row r="108" spans="1:17" ht="15.6" x14ac:dyDescent="0.3">
      <c r="A108" s="3" t="s">
        <v>254</v>
      </c>
      <c r="B108" s="3" t="s">
        <v>25</v>
      </c>
      <c r="C108" s="3" t="s">
        <v>255</v>
      </c>
      <c r="D108" s="3" t="s">
        <v>49</v>
      </c>
      <c r="E108" s="3" t="s">
        <v>50</v>
      </c>
      <c r="F108" s="3">
        <v>4832</v>
      </c>
      <c r="G108" s="3">
        <v>893</v>
      </c>
      <c r="H108" s="3">
        <v>10</v>
      </c>
      <c r="I108" s="3">
        <v>91808</v>
      </c>
      <c r="J108" s="3">
        <v>91296</v>
      </c>
      <c r="K108" s="3">
        <v>182</v>
      </c>
      <c r="L108" s="4" t="s">
        <v>28</v>
      </c>
      <c r="M108" s="4"/>
      <c r="N108" s="4"/>
      <c r="O108" s="4"/>
      <c r="P108" s="5"/>
      <c r="Q108" s="12">
        <f t="shared" si="1"/>
        <v>6.2467323109097243E-2</v>
      </c>
    </row>
    <row r="109" spans="1:17" ht="15.6" x14ac:dyDescent="0.3">
      <c r="A109" s="3" t="s">
        <v>256</v>
      </c>
      <c r="B109" s="3" t="s">
        <v>14</v>
      </c>
      <c r="C109" s="3" t="s">
        <v>257</v>
      </c>
      <c r="D109" s="3" t="s">
        <v>71</v>
      </c>
      <c r="E109" s="3" t="s">
        <v>141</v>
      </c>
      <c r="F109" s="3">
        <v>4050</v>
      </c>
      <c r="G109" s="3">
        <v>871</v>
      </c>
      <c r="H109" s="3">
        <v>347</v>
      </c>
      <c r="I109" s="3">
        <v>52650</v>
      </c>
      <c r="J109" s="3">
        <v>51755</v>
      </c>
      <c r="K109" s="3">
        <v>209</v>
      </c>
      <c r="L109" s="4" t="s">
        <v>28</v>
      </c>
      <c r="M109" s="4"/>
      <c r="N109" s="4"/>
      <c r="O109" s="4"/>
      <c r="P109" s="5" t="s">
        <v>23</v>
      </c>
      <c r="Q109" s="12">
        <f t="shared" si="1"/>
        <v>0.10005698005698006</v>
      </c>
    </row>
    <row r="110" spans="1:17" ht="15.6" x14ac:dyDescent="0.3">
      <c r="A110" s="3" t="s">
        <v>258</v>
      </c>
      <c r="B110" s="3" t="s">
        <v>14</v>
      </c>
      <c r="C110" s="3" t="s">
        <v>259</v>
      </c>
      <c r="D110" s="3" t="s">
        <v>33</v>
      </c>
      <c r="E110" s="3" t="s">
        <v>145</v>
      </c>
      <c r="F110" s="3">
        <v>3649</v>
      </c>
      <c r="G110" s="3">
        <v>215</v>
      </c>
      <c r="H110" s="3">
        <v>413</v>
      </c>
      <c r="I110" s="3">
        <v>25543</v>
      </c>
      <c r="J110" s="3">
        <v>24963</v>
      </c>
      <c r="K110" s="3">
        <v>167</v>
      </c>
      <c r="L110" s="4" t="s">
        <v>59</v>
      </c>
      <c r="M110" s="4"/>
      <c r="N110" s="4"/>
      <c r="O110" s="4"/>
      <c r="P110" s="5" t="s">
        <v>29</v>
      </c>
      <c r="Q110" s="12">
        <f t="shared" si="1"/>
        <v>0.16744313510550835</v>
      </c>
    </row>
    <row r="111" spans="1:17" ht="15.6" x14ac:dyDescent="0.3">
      <c r="A111" s="3" t="s">
        <v>260</v>
      </c>
      <c r="B111" s="3" t="s">
        <v>31</v>
      </c>
      <c r="C111" s="3" t="s">
        <v>261</v>
      </c>
      <c r="D111" s="3" t="s">
        <v>16</v>
      </c>
      <c r="E111" s="3" t="s">
        <v>79</v>
      </c>
      <c r="F111" s="3">
        <v>3523</v>
      </c>
      <c r="G111" s="3">
        <v>753</v>
      </c>
      <c r="H111" s="3">
        <v>482</v>
      </c>
      <c r="I111" s="3">
        <v>38753</v>
      </c>
      <c r="J111" s="3">
        <v>38579</v>
      </c>
      <c r="K111" s="3">
        <v>270</v>
      </c>
      <c r="L111" s="4" t="s">
        <v>35</v>
      </c>
      <c r="M111" s="4"/>
      <c r="N111" s="4"/>
      <c r="O111" s="4"/>
      <c r="P111" s="5" t="s">
        <v>23</v>
      </c>
      <c r="Q111" s="12">
        <f t="shared" si="1"/>
        <v>0.12277759141227776</v>
      </c>
    </row>
    <row r="112" spans="1:17" ht="15.6" x14ac:dyDescent="0.3">
      <c r="A112" s="3" t="s">
        <v>262</v>
      </c>
      <c r="B112" s="3" t="s">
        <v>25</v>
      </c>
      <c r="C112" s="3" t="s">
        <v>263</v>
      </c>
      <c r="D112" s="3" t="s">
        <v>49</v>
      </c>
      <c r="E112" s="3" t="s">
        <v>50</v>
      </c>
      <c r="F112" s="3">
        <v>2719</v>
      </c>
      <c r="G112" s="3">
        <v>17</v>
      </c>
      <c r="H112" s="3">
        <v>285</v>
      </c>
      <c r="I112" s="3">
        <v>40785</v>
      </c>
      <c r="J112" s="3">
        <v>40281</v>
      </c>
      <c r="K112" s="3">
        <v>40</v>
      </c>
      <c r="L112" s="4" t="s">
        <v>28</v>
      </c>
      <c r="M112" s="4"/>
      <c r="N112" s="4"/>
      <c r="O112" s="4"/>
      <c r="P112" s="5" t="s">
        <v>23</v>
      </c>
      <c r="Q112" s="12">
        <f t="shared" si="1"/>
        <v>7.4071349760941527E-2</v>
      </c>
    </row>
    <row r="113" spans="1:17" ht="15.6" x14ac:dyDescent="0.3">
      <c r="A113" s="3" t="s">
        <v>264</v>
      </c>
      <c r="B113" s="3" t="s">
        <v>14</v>
      </c>
      <c r="C113" s="3" t="s">
        <v>265</v>
      </c>
      <c r="D113" s="3" t="s">
        <v>33</v>
      </c>
      <c r="E113" s="3" t="s">
        <v>145</v>
      </c>
      <c r="F113" s="3">
        <v>1957</v>
      </c>
      <c r="G113" s="3">
        <v>877</v>
      </c>
      <c r="H113" s="3">
        <v>238</v>
      </c>
      <c r="I113" s="3">
        <v>17613</v>
      </c>
      <c r="J113" s="3">
        <v>16865</v>
      </c>
      <c r="K113" s="3">
        <v>297</v>
      </c>
      <c r="L113" s="4" t="s">
        <v>59</v>
      </c>
      <c r="M113" s="4"/>
      <c r="N113" s="4"/>
      <c r="O113" s="4"/>
      <c r="P113" s="5" t="s">
        <v>29</v>
      </c>
      <c r="Q113" s="12">
        <f t="shared" si="1"/>
        <v>0.17441662408448305</v>
      </c>
    </row>
    <row r="114" spans="1:17" ht="15.6" x14ac:dyDescent="0.3">
      <c r="A114" s="3" t="s">
        <v>266</v>
      </c>
      <c r="B114" s="3" t="s">
        <v>14</v>
      </c>
      <c r="C114" s="3" t="s">
        <v>267</v>
      </c>
      <c r="D114" s="3" t="s">
        <v>42</v>
      </c>
      <c r="E114" s="3" t="s">
        <v>46</v>
      </c>
      <c r="F114" s="3">
        <v>4419</v>
      </c>
      <c r="G114" s="3">
        <v>236</v>
      </c>
      <c r="H114" s="3">
        <v>369</v>
      </c>
      <c r="I114" s="3">
        <v>44190</v>
      </c>
      <c r="J114" s="3">
        <v>43582</v>
      </c>
      <c r="K114" s="3">
        <v>10</v>
      </c>
      <c r="L114" s="4" t="s">
        <v>35</v>
      </c>
      <c r="M114" s="4"/>
      <c r="N114" s="4"/>
      <c r="O114" s="4"/>
      <c r="P114" s="5" t="s">
        <v>18</v>
      </c>
      <c r="Q114" s="12">
        <f t="shared" si="1"/>
        <v>0.11369088028965829</v>
      </c>
    </row>
    <row r="115" spans="1:17" ht="15.6" x14ac:dyDescent="0.3">
      <c r="A115" s="3" t="s">
        <v>268</v>
      </c>
      <c r="B115" s="3" t="s">
        <v>14</v>
      </c>
      <c r="C115" s="3" t="s">
        <v>269</v>
      </c>
      <c r="D115" s="3" t="s">
        <v>33</v>
      </c>
      <c r="E115" s="3" t="s">
        <v>145</v>
      </c>
      <c r="F115" s="3">
        <v>4000</v>
      </c>
      <c r="G115" s="3">
        <v>689</v>
      </c>
      <c r="H115" s="3">
        <v>488</v>
      </c>
      <c r="I115" s="3">
        <v>40000</v>
      </c>
      <c r="J115" s="3">
        <v>39569</v>
      </c>
      <c r="K115" s="3">
        <v>44</v>
      </c>
      <c r="L115" s="4" t="s">
        <v>59</v>
      </c>
      <c r="M115" s="4"/>
      <c r="N115" s="4"/>
      <c r="O115" s="4"/>
      <c r="P115" s="5" t="s">
        <v>18</v>
      </c>
      <c r="Q115" s="12">
        <f t="shared" si="1"/>
        <v>0.12942500000000001</v>
      </c>
    </row>
    <row r="116" spans="1:17" ht="15.6" x14ac:dyDescent="0.3">
      <c r="A116" s="3" t="s">
        <v>270</v>
      </c>
      <c r="B116" s="3" t="s">
        <v>14</v>
      </c>
      <c r="C116" s="3" t="s">
        <v>271</v>
      </c>
      <c r="D116" s="3" t="s">
        <v>49</v>
      </c>
      <c r="E116" s="3" t="s">
        <v>128</v>
      </c>
      <c r="F116" s="3">
        <v>2493</v>
      </c>
      <c r="G116" s="3">
        <v>97</v>
      </c>
      <c r="H116" s="3">
        <v>44</v>
      </c>
      <c r="I116" s="3">
        <v>42381</v>
      </c>
      <c r="J116" s="3">
        <v>41991</v>
      </c>
      <c r="K116" s="3">
        <v>242</v>
      </c>
      <c r="L116" s="4" t="s">
        <v>28</v>
      </c>
      <c r="M116" s="4" t="s">
        <v>552</v>
      </c>
      <c r="N116" s="4"/>
      <c r="O116" s="4"/>
      <c r="P116" s="5" t="s">
        <v>36</v>
      </c>
      <c r="Q116" s="12">
        <f t="shared" si="1"/>
        <v>6.2150491965739366E-2</v>
      </c>
    </row>
    <row r="117" spans="1:17" ht="15.6" x14ac:dyDescent="0.3">
      <c r="A117" s="3" t="s">
        <v>272</v>
      </c>
      <c r="B117" s="3" t="s">
        <v>25</v>
      </c>
      <c r="C117" s="3" t="s">
        <v>273</v>
      </c>
      <c r="D117" s="3" t="s">
        <v>16</v>
      </c>
      <c r="E117" s="3" t="s">
        <v>27</v>
      </c>
      <c r="F117" s="3">
        <v>3704</v>
      </c>
      <c r="G117" s="3">
        <v>186</v>
      </c>
      <c r="H117" s="3">
        <v>458</v>
      </c>
      <c r="I117" s="3">
        <v>25928</v>
      </c>
      <c r="J117" s="3">
        <v>25081</v>
      </c>
      <c r="K117" s="3">
        <v>131</v>
      </c>
      <c r="L117" s="4" t="s">
        <v>28</v>
      </c>
      <c r="M117" s="4"/>
      <c r="N117" s="4"/>
      <c r="O117" s="4"/>
      <c r="P117" s="5"/>
      <c r="Q117" s="12">
        <f t="shared" si="1"/>
        <v>0.16769515581610614</v>
      </c>
    </row>
    <row r="118" spans="1:17" ht="15.6" x14ac:dyDescent="0.3">
      <c r="A118" s="3" t="s">
        <v>274</v>
      </c>
      <c r="B118" s="3" t="s">
        <v>14</v>
      </c>
      <c r="C118" s="3" t="s">
        <v>275</v>
      </c>
      <c r="D118" s="3" t="s">
        <v>49</v>
      </c>
      <c r="E118" s="3" t="s">
        <v>128</v>
      </c>
      <c r="F118" s="3">
        <v>1606</v>
      </c>
      <c r="G118" s="3">
        <v>451</v>
      </c>
      <c r="H118" s="3">
        <v>405</v>
      </c>
      <c r="I118" s="3">
        <v>20878</v>
      </c>
      <c r="J118" s="3">
        <v>20190</v>
      </c>
      <c r="K118" s="3">
        <v>219</v>
      </c>
      <c r="L118" s="4" t="s">
        <v>35</v>
      </c>
      <c r="M118" s="4"/>
      <c r="N118" s="4"/>
      <c r="O118" s="4"/>
      <c r="P118" s="5" t="s">
        <v>36</v>
      </c>
      <c r="Q118" s="12">
        <f t="shared" si="1"/>
        <v>0.11792317271769326</v>
      </c>
    </row>
    <row r="119" spans="1:17" ht="15.6" x14ac:dyDescent="0.3">
      <c r="A119" s="3" t="s">
        <v>276</v>
      </c>
      <c r="B119" s="3" t="s">
        <v>40</v>
      </c>
      <c r="C119" s="3" t="s">
        <v>275</v>
      </c>
      <c r="D119" s="3" t="s">
        <v>49</v>
      </c>
      <c r="E119" s="3" t="s">
        <v>56</v>
      </c>
      <c r="F119" s="3">
        <v>4551</v>
      </c>
      <c r="G119" s="3">
        <v>714</v>
      </c>
      <c r="H119" s="3">
        <v>207</v>
      </c>
      <c r="I119" s="3">
        <v>68265</v>
      </c>
      <c r="J119" s="3">
        <v>67754</v>
      </c>
      <c r="K119" s="3">
        <v>57</v>
      </c>
      <c r="L119" s="4" t="s">
        <v>59</v>
      </c>
      <c r="M119" s="4"/>
      <c r="N119" s="4"/>
      <c r="O119" s="4"/>
      <c r="P119" s="5" t="s">
        <v>29</v>
      </c>
      <c r="Q119" s="12">
        <f t="shared" si="1"/>
        <v>8.0158206987475278E-2</v>
      </c>
    </row>
    <row r="120" spans="1:17" ht="15.6" x14ac:dyDescent="0.3">
      <c r="A120" s="3" t="s">
        <v>277</v>
      </c>
      <c r="B120" s="3" t="s">
        <v>31</v>
      </c>
      <c r="C120" s="3" t="s">
        <v>278</v>
      </c>
      <c r="D120" s="3" t="s">
        <v>16</v>
      </c>
      <c r="E120" s="3" t="s">
        <v>79</v>
      </c>
      <c r="F120" s="3">
        <v>1970</v>
      </c>
      <c r="G120" s="3">
        <v>675</v>
      </c>
      <c r="H120" s="3">
        <v>478</v>
      </c>
      <c r="I120" s="3">
        <v>9850</v>
      </c>
      <c r="J120" s="3">
        <v>8924</v>
      </c>
      <c r="K120" s="3">
        <v>117</v>
      </c>
      <c r="L120" s="4" t="s">
        <v>59</v>
      </c>
      <c r="M120" s="4"/>
      <c r="N120" s="4"/>
      <c r="O120" s="4"/>
      <c r="P120" s="5"/>
      <c r="Q120" s="12">
        <f t="shared" si="1"/>
        <v>0.31705583756345179</v>
      </c>
    </row>
    <row r="121" spans="1:17" ht="15.6" x14ac:dyDescent="0.3">
      <c r="A121" s="3" t="s">
        <v>279</v>
      </c>
      <c r="B121" s="3" t="s">
        <v>40</v>
      </c>
      <c r="C121" s="3" t="s">
        <v>163</v>
      </c>
      <c r="D121" s="3" t="s">
        <v>33</v>
      </c>
      <c r="E121" s="3" t="s">
        <v>68</v>
      </c>
      <c r="F121" s="3">
        <v>780</v>
      </c>
      <c r="G121" s="3">
        <v>928</v>
      </c>
      <c r="H121" s="3">
        <v>301</v>
      </c>
      <c r="I121" s="3">
        <v>8580</v>
      </c>
      <c r="J121" s="3">
        <v>8081</v>
      </c>
      <c r="K121" s="3">
        <v>91</v>
      </c>
      <c r="L121" s="4" t="s">
        <v>35</v>
      </c>
      <c r="M121" s="4"/>
      <c r="N121" s="4"/>
      <c r="O121" s="4"/>
      <c r="P121" s="5" t="s">
        <v>29</v>
      </c>
      <c r="Q121" s="12">
        <f t="shared" si="1"/>
        <v>0.23414918414918415</v>
      </c>
    </row>
    <row r="122" spans="1:17" ht="15.6" x14ac:dyDescent="0.3">
      <c r="A122" s="3" t="s">
        <v>280</v>
      </c>
      <c r="B122" s="3" t="s">
        <v>31</v>
      </c>
      <c r="C122" s="3" t="s">
        <v>261</v>
      </c>
      <c r="D122" s="3" t="s">
        <v>33</v>
      </c>
      <c r="E122" s="3" t="s">
        <v>34</v>
      </c>
      <c r="F122" s="3">
        <v>498</v>
      </c>
      <c r="G122" s="3">
        <v>701</v>
      </c>
      <c r="H122" s="3">
        <v>412</v>
      </c>
      <c r="I122" s="3">
        <v>4980</v>
      </c>
      <c r="J122" s="3">
        <v>4185</v>
      </c>
      <c r="K122" s="3">
        <v>185</v>
      </c>
      <c r="L122" s="4" t="s">
        <v>59</v>
      </c>
      <c r="M122" s="4"/>
      <c r="N122" s="4"/>
      <c r="O122" s="4"/>
      <c r="P122" s="5"/>
      <c r="Q122" s="12">
        <f t="shared" si="1"/>
        <v>0.32349397590361445</v>
      </c>
    </row>
    <row r="123" spans="1:17" ht="15.6" x14ac:dyDescent="0.3">
      <c r="A123" s="3" t="s">
        <v>281</v>
      </c>
      <c r="B123" s="3" t="s">
        <v>31</v>
      </c>
      <c r="C123" s="3" t="s">
        <v>267</v>
      </c>
      <c r="D123" s="3" t="s">
        <v>21</v>
      </c>
      <c r="E123" s="3" t="s">
        <v>109</v>
      </c>
      <c r="F123" s="3">
        <v>3432</v>
      </c>
      <c r="G123" s="3">
        <v>869</v>
      </c>
      <c r="H123" s="3">
        <v>123</v>
      </c>
      <c r="I123" s="3">
        <v>54912</v>
      </c>
      <c r="J123" s="3">
        <v>53916</v>
      </c>
      <c r="K123" s="3">
        <v>264</v>
      </c>
      <c r="L123" s="4" t="s">
        <v>35</v>
      </c>
      <c r="M123" s="4"/>
      <c r="N123" s="4"/>
      <c r="O123" s="4"/>
      <c r="P123" s="5" t="s">
        <v>23</v>
      </c>
      <c r="Q123" s="12">
        <f t="shared" si="1"/>
        <v>8.0565268065268064E-2</v>
      </c>
    </row>
    <row r="124" spans="1:17" ht="15.6" x14ac:dyDescent="0.3">
      <c r="A124" s="3" t="s">
        <v>282</v>
      </c>
      <c r="B124" s="3" t="s">
        <v>31</v>
      </c>
      <c r="C124" s="3" t="s">
        <v>251</v>
      </c>
      <c r="D124" s="3" t="s">
        <v>33</v>
      </c>
      <c r="E124" s="3" t="s">
        <v>34</v>
      </c>
      <c r="F124" s="3">
        <v>4363</v>
      </c>
      <c r="G124" s="3">
        <v>649</v>
      </c>
      <c r="H124" s="3">
        <v>140</v>
      </c>
      <c r="I124" s="3">
        <v>21815</v>
      </c>
      <c r="J124" s="3">
        <v>21481</v>
      </c>
      <c r="K124" s="3">
        <v>157</v>
      </c>
      <c r="L124" s="4" t="s">
        <v>35</v>
      </c>
      <c r="M124" s="4"/>
      <c r="N124" s="4"/>
      <c r="O124" s="4"/>
      <c r="P124" s="5" t="s">
        <v>18</v>
      </c>
      <c r="Q124" s="12">
        <f t="shared" si="1"/>
        <v>0.23616777446710979</v>
      </c>
    </row>
    <row r="125" spans="1:17" ht="15.6" x14ac:dyDescent="0.3">
      <c r="A125" s="3" t="s">
        <v>283</v>
      </c>
      <c r="B125" s="3" t="s">
        <v>25</v>
      </c>
      <c r="C125" s="3" t="s">
        <v>284</v>
      </c>
      <c r="D125" s="3" t="s">
        <v>42</v>
      </c>
      <c r="E125" s="3" t="s">
        <v>65</v>
      </c>
      <c r="F125" s="3">
        <v>736</v>
      </c>
      <c r="G125" s="3">
        <v>771</v>
      </c>
      <c r="H125" s="3">
        <v>225</v>
      </c>
      <c r="I125" s="3">
        <v>5152</v>
      </c>
      <c r="J125" s="3">
        <v>4706</v>
      </c>
      <c r="K125" s="3">
        <v>19</v>
      </c>
      <c r="L125" s="4" t="s">
        <v>35</v>
      </c>
      <c r="M125" s="4"/>
      <c r="N125" s="4"/>
      <c r="O125" s="4"/>
      <c r="P125" s="5" t="s">
        <v>18</v>
      </c>
      <c r="Q125" s="12">
        <f t="shared" si="1"/>
        <v>0.33618012422360249</v>
      </c>
    </row>
    <row r="126" spans="1:17" ht="15.6" x14ac:dyDescent="0.3">
      <c r="A126" s="3" t="s">
        <v>285</v>
      </c>
      <c r="B126" s="3" t="s">
        <v>14</v>
      </c>
      <c r="C126" s="3" t="s">
        <v>286</v>
      </c>
      <c r="D126" s="3" t="s">
        <v>42</v>
      </c>
      <c r="E126" s="3" t="s">
        <v>46</v>
      </c>
      <c r="F126" s="3">
        <v>3811</v>
      </c>
      <c r="G126" s="3">
        <v>866</v>
      </c>
      <c r="H126" s="3">
        <v>216</v>
      </c>
      <c r="I126" s="3">
        <v>34299</v>
      </c>
      <c r="J126" s="3">
        <v>34088</v>
      </c>
      <c r="K126" s="3">
        <v>233</v>
      </c>
      <c r="L126" s="4" t="s">
        <v>28</v>
      </c>
      <c r="M126" s="4"/>
      <c r="N126" s="4"/>
      <c r="O126" s="4"/>
      <c r="P126" s="5" t="s">
        <v>36</v>
      </c>
      <c r="Q126" s="12">
        <f t="shared" si="1"/>
        <v>0.14265722032712325</v>
      </c>
    </row>
    <row r="127" spans="1:17" ht="15.6" x14ac:dyDescent="0.3">
      <c r="A127" s="3" t="s">
        <v>287</v>
      </c>
      <c r="B127" s="3" t="s">
        <v>31</v>
      </c>
      <c r="C127" s="3" t="s">
        <v>178</v>
      </c>
      <c r="D127" s="3" t="s">
        <v>42</v>
      </c>
      <c r="E127" s="3" t="s">
        <v>85</v>
      </c>
      <c r="F127" s="3">
        <v>4158</v>
      </c>
      <c r="G127" s="3">
        <v>167</v>
      </c>
      <c r="H127" s="3">
        <v>241</v>
      </c>
      <c r="I127" s="3">
        <v>45738</v>
      </c>
      <c r="J127" s="3">
        <v>45183</v>
      </c>
      <c r="K127" s="3">
        <v>142</v>
      </c>
      <c r="L127" s="4" t="s">
        <v>59</v>
      </c>
      <c r="M127" s="4"/>
      <c r="N127" s="4"/>
      <c r="O127" s="4"/>
      <c r="P127" s="5"/>
      <c r="Q127" s="12">
        <f t="shared" si="1"/>
        <v>9.9829463465827106E-2</v>
      </c>
    </row>
    <row r="128" spans="1:17" ht="15.6" x14ac:dyDescent="0.3">
      <c r="A128" s="3" t="s">
        <v>288</v>
      </c>
      <c r="B128" s="3" t="s">
        <v>40</v>
      </c>
      <c r="C128" s="3" t="s">
        <v>217</v>
      </c>
      <c r="D128" s="3" t="s">
        <v>16</v>
      </c>
      <c r="E128" s="3" t="s">
        <v>62</v>
      </c>
      <c r="F128" s="3">
        <v>3452</v>
      </c>
      <c r="G128" s="3">
        <v>652</v>
      </c>
      <c r="H128" s="3">
        <v>442</v>
      </c>
      <c r="I128" s="3">
        <v>65588</v>
      </c>
      <c r="J128" s="3">
        <v>65049</v>
      </c>
      <c r="K128" s="3">
        <v>158</v>
      </c>
      <c r="L128" s="4" t="s">
        <v>59</v>
      </c>
      <c r="M128" s="4"/>
      <c r="N128" s="4"/>
      <c r="O128" s="4"/>
      <c r="P128" s="5" t="s">
        <v>29</v>
      </c>
      <c r="Q128" s="12">
        <f t="shared" si="1"/>
        <v>6.9311459413307311E-2</v>
      </c>
    </row>
    <row r="129" spans="1:17" ht="15.6" x14ac:dyDescent="0.3">
      <c r="A129" s="3" t="s">
        <v>289</v>
      </c>
      <c r="B129" s="3" t="s">
        <v>14</v>
      </c>
      <c r="C129" s="3" t="s">
        <v>223</v>
      </c>
      <c r="D129" s="3" t="s">
        <v>49</v>
      </c>
      <c r="E129" s="3" t="s">
        <v>128</v>
      </c>
      <c r="F129" s="3">
        <v>3092</v>
      </c>
      <c r="G129" s="3">
        <v>106</v>
      </c>
      <c r="H129" s="3">
        <v>291</v>
      </c>
      <c r="I129" s="3">
        <v>27828</v>
      </c>
      <c r="J129" s="3">
        <v>27217</v>
      </c>
      <c r="K129" s="3">
        <v>102</v>
      </c>
      <c r="L129" s="4" t="s">
        <v>59</v>
      </c>
      <c r="M129" s="4"/>
      <c r="N129" s="4"/>
      <c r="O129" s="4"/>
      <c r="P129" s="5"/>
      <c r="Q129" s="12">
        <f t="shared" si="1"/>
        <v>0.12537731780940059</v>
      </c>
    </row>
    <row r="130" spans="1:17" ht="15.6" x14ac:dyDescent="0.3">
      <c r="A130" s="3" t="s">
        <v>290</v>
      </c>
      <c r="B130" s="3" t="s">
        <v>14</v>
      </c>
      <c r="C130" s="3" t="s">
        <v>61</v>
      </c>
      <c r="D130" s="3" t="s">
        <v>21</v>
      </c>
      <c r="E130" s="3" t="s">
        <v>22</v>
      </c>
      <c r="F130" s="3">
        <v>2147</v>
      </c>
      <c r="G130" s="3">
        <v>430</v>
      </c>
      <c r="H130" s="3">
        <v>393</v>
      </c>
      <c r="I130" s="3">
        <v>17176</v>
      </c>
      <c r="J130" s="3">
        <v>16483</v>
      </c>
      <c r="K130" s="3">
        <v>170</v>
      </c>
      <c r="L130" s="4" t="s">
        <v>28</v>
      </c>
      <c r="M130" s="4"/>
      <c r="N130" s="4"/>
      <c r="O130" s="4"/>
      <c r="P130" s="5"/>
      <c r="Q130" s="12">
        <f t="shared" ref="Q130:Q193" si="2">(F130+G130+H130)/I130</f>
        <v>0.17291569632044715</v>
      </c>
    </row>
    <row r="131" spans="1:17" ht="15.6" x14ac:dyDescent="0.3">
      <c r="A131" s="3" t="s">
        <v>291</v>
      </c>
      <c r="B131" s="3" t="s">
        <v>25</v>
      </c>
      <c r="C131" s="3" t="s">
        <v>292</v>
      </c>
      <c r="D131" s="3" t="s">
        <v>16</v>
      </c>
      <c r="E131" s="3" t="s">
        <v>27</v>
      </c>
      <c r="F131" s="3">
        <v>2936</v>
      </c>
      <c r="G131" s="3">
        <v>439</v>
      </c>
      <c r="H131" s="3">
        <v>44</v>
      </c>
      <c r="I131" s="3">
        <v>38168</v>
      </c>
      <c r="J131" s="3">
        <v>37571</v>
      </c>
      <c r="K131" s="3">
        <v>22</v>
      </c>
      <c r="L131" s="4" t="s">
        <v>35</v>
      </c>
      <c r="M131" s="4"/>
      <c r="N131" s="4"/>
      <c r="O131" s="4"/>
      <c r="P131" s="5" t="s">
        <v>36</v>
      </c>
      <c r="Q131" s="12">
        <f t="shared" si="2"/>
        <v>8.9577656675749323E-2</v>
      </c>
    </row>
    <row r="132" spans="1:17" ht="15.6" x14ac:dyDescent="0.3">
      <c r="A132" s="3" t="s">
        <v>293</v>
      </c>
      <c r="B132" s="3" t="s">
        <v>31</v>
      </c>
      <c r="C132" s="3" t="s">
        <v>163</v>
      </c>
      <c r="D132" s="3" t="s">
        <v>16</v>
      </c>
      <c r="E132" s="3" t="s">
        <v>79</v>
      </c>
      <c r="F132" s="3">
        <v>4840</v>
      </c>
      <c r="G132" s="3">
        <v>658</v>
      </c>
      <c r="H132" s="3">
        <v>211</v>
      </c>
      <c r="I132" s="3">
        <v>43560</v>
      </c>
      <c r="J132" s="3">
        <v>43225</v>
      </c>
      <c r="K132" s="3">
        <v>57</v>
      </c>
      <c r="L132" s="4" t="s">
        <v>59</v>
      </c>
      <c r="M132" s="4"/>
      <c r="N132" s="4"/>
      <c r="O132" s="4"/>
      <c r="P132" s="5" t="s">
        <v>29</v>
      </c>
      <c r="Q132" s="12">
        <f t="shared" si="2"/>
        <v>0.13106060606060607</v>
      </c>
    </row>
    <row r="133" spans="1:17" ht="15.6" x14ac:dyDescent="0.3">
      <c r="A133" s="3" t="s">
        <v>294</v>
      </c>
      <c r="B133" s="3" t="s">
        <v>31</v>
      </c>
      <c r="C133" s="3" t="s">
        <v>102</v>
      </c>
      <c r="D133" s="3" t="s">
        <v>33</v>
      </c>
      <c r="E133" s="3" t="s">
        <v>34</v>
      </c>
      <c r="F133" s="3">
        <v>1947</v>
      </c>
      <c r="G133" s="3">
        <v>842</v>
      </c>
      <c r="H133" s="3">
        <v>101</v>
      </c>
      <c r="I133" s="3">
        <v>21417</v>
      </c>
      <c r="J133" s="3">
        <v>20967</v>
      </c>
      <c r="K133" s="3">
        <v>186</v>
      </c>
      <c r="L133" s="4" t="s">
        <v>59</v>
      </c>
      <c r="M133" s="4"/>
      <c r="N133" s="4"/>
      <c r="O133" s="4"/>
      <c r="P133" s="5" t="s">
        <v>23</v>
      </c>
      <c r="Q133" s="12">
        <f t="shared" si="2"/>
        <v>0.13493953401503478</v>
      </c>
    </row>
    <row r="134" spans="1:17" ht="15.6" x14ac:dyDescent="0.3">
      <c r="A134" s="3" t="s">
        <v>295</v>
      </c>
      <c r="B134" s="3" t="s">
        <v>40</v>
      </c>
      <c r="C134" s="3" t="s">
        <v>296</v>
      </c>
      <c r="D134" s="3" t="s">
        <v>49</v>
      </c>
      <c r="E134" s="3" t="s">
        <v>56</v>
      </c>
      <c r="F134" s="3">
        <v>2072</v>
      </c>
      <c r="G134" s="3">
        <v>532</v>
      </c>
      <c r="H134" s="3">
        <v>71</v>
      </c>
      <c r="I134" s="3">
        <v>37296</v>
      </c>
      <c r="J134" s="3">
        <v>36467</v>
      </c>
      <c r="K134" s="3">
        <v>25</v>
      </c>
      <c r="L134" s="4" t="s">
        <v>28</v>
      </c>
      <c r="M134" s="4"/>
      <c r="N134" s="4"/>
      <c r="O134" s="4"/>
      <c r="P134" s="5" t="s">
        <v>36</v>
      </c>
      <c r="Q134" s="12">
        <f t="shared" si="2"/>
        <v>7.172350922350923E-2</v>
      </c>
    </row>
    <row r="135" spans="1:17" ht="15.6" x14ac:dyDescent="0.3">
      <c r="A135" s="3" t="s">
        <v>297</v>
      </c>
      <c r="B135" s="3" t="s">
        <v>14</v>
      </c>
      <c r="C135" s="3" t="s">
        <v>298</v>
      </c>
      <c r="D135" s="3" t="s">
        <v>16</v>
      </c>
      <c r="E135" s="3" t="s">
        <v>17</v>
      </c>
      <c r="F135" s="3">
        <v>3731</v>
      </c>
      <c r="G135" s="3">
        <v>115</v>
      </c>
      <c r="H135" s="3">
        <v>135</v>
      </c>
      <c r="I135" s="3">
        <v>55965</v>
      </c>
      <c r="J135" s="3">
        <v>55436</v>
      </c>
      <c r="K135" s="3">
        <v>103</v>
      </c>
      <c r="L135" s="4" t="s">
        <v>28</v>
      </c>
      <c r="M135" s="4"/>
      <c r="N135" s="4"/>
      <c r="O135" s="4"/>
      <c r="P135" s="5" t="s">
        <v>18</v>
      </c>
      <c r="Q135" s="12">
        <f t="shared" si="2"/>
        <v>7.1133744304476013E-2</v>
      </c>
    </row>
    <row r="136" spans="1:17" ht="15.6" x14ac:dyDescent="0.3">
      <c r="A136" s="3" t="s">
        <v>299</v>
      </c>
      <c r="B136" s="3" t="s">
        <v>40</v>
      </c>
      <c r="C136" s="3" t="s">
        <v>300</v>
      </c>
      <c r="D136" s="3" t="s">
        <v>21</v>
      </c>
      <c r="E136" s="3" t="s">
        <v>53</v>
      </c>
      <c r="F136" s="3">
        <v>4213</v>
      </c>
      <c r="G136" s="3">
        <v>253</v>
      </c>
      <c r="H136" s="3">
        <v>434</v>
      </c>
      <c r="I136" s="3">
        <v>75834</v>
      </c>
      <c r="J136" s="3">
        <v>75437</v>
      </c>
      <c r="K136" s="3">
        <v>272</v>
      </c>
      <c r="L136" s="4" t="s">
        <v>59</v>
      </c>
      <c r="M136" s="4"/>
      <c r="N136" s="4"/>
      <c r="O136" s="4"/>
      <c r="P136" s="5" t="s">
        <v>36</v>
      </c>
      <c r="Q136" s="12">
        <f t="shared" si="2"/>
        <v>6.461481657304112E-2</v>
      </c>
    </row>
    <row r="137" spans="1:17" ht="15.6" x14ac:dyDescent="0.3">
      <c r="A137" s="3" t="s">
        <v>301</v>
      </c>
      <c r="B137" s="3" t="s">
        <v>31</v>
      </c>
      <c r="C137" s="3" t="s">
        <v>302</v>
      </c>
      <c r="D137" s="3" t="s">
        <v>21</v>
      </c>
      <c r="E137" s="3" t="s">
        <v>109</v>
      </c>
      <c r="F137" s="3">
        <v>3134</v>
      </c>
      <c r="G137" s="3">
        <v>888</v>
      </c>
      <c r="H137" s="3">
        <v>444</v>
      </c>
      <c r="I137" s="3">
        <v>21938</v>
      </c>
      <c r="J137" s="3">
        <v>21337</v>
      </c>
      <c r="K137" s="3">
        <v>130</v>
      </c>
      <c r="L137" s="4" t="s">
        <v>35</v>
      </c>
      <c r="M137" s="4"/>
      <c r="N137" s="4"/>
      <c r="O137" s="4"/>
      <c r="P137" s="5" t="s">
        <v>36</v>
      </c>
      <c r="Q137" s="12">
        <f t="shared" si="2"/>
        <v>0.20357370772176134</v>
      </c>
    </row>
    <row r="138" spans="1:17" ht="15.6" x14ac:dyDescent="0.3">
      <c r="A138" s="3" t="s">
        <v>303</v>
      </c>
      <c r="B138" s="3" t="s">
        <v>40</v>
      </c>
      <c r="C138" s="3" t="s">
        <v>111</v>
      </c>
      <c r="D138" s="3" t="s">
        <v>71</v>
      </c>
      <c r="E138" s="3" t="s">
        <v>72</v>
      </c>
      <c r="F138" s="3">
        <v>3008</v>
      </c>
      <c r="G138" s="3">
        <v>94</v>
      </c>
      <c r="H138" s="3">
        <v>37</v>
      </c>
      <c r="I138" s="3">
        <v>15040</v>
      </c>
      <c r="J138" s="3">
        <v>14639</v>
      </c>
      <c r="K138" s="3">
        <v>277</v>
      </c>
      <c r="L138" s="4" t="s">
        <v>59</v>
      </c>
      <c r="M138" s="4"/>
      <c r="N138" s="4"/>
      <c r="O138" s="4"/>
      <c r="P138" s="5"/>
      <c r="Q138" s="12">
        <f t="shared" si="2"/>
        <v>0.20871010638297871</v>
      </c>
    </row>
    <row r="139" spans="1:17" ht="15.6" x14ac:dyDescent="0.3">
      <c r="A139" s="3" t="s">
        <v>304</v>
      </c>
      <c r="B139" s="3" t="s">
        <v>14</v>
      </c>
      <c r="C139" s="3" t="s">
        <v>182</v>
      </c>
      <c r="D139" s="3" t="s">
        <v>49</v>
      </c>
      <c r="E139" s="3" t="s">
        <v>128</v>
      </c>
      <c r="F139" s="3">
        <v>305</v>
      </c>
      <c r="G139" s="3">
        <v>187</v>
      </c>
      <c r="H139" s="3">
        <v>243</v>
      </c>
      <c r="I139" s="3">
        <v>4575</v>
      </c>
      <c r="J139" s="3">
        <v>3704</v>
      </c>
      <c r="K139" s="3">
        <v>234</v>
      </c>
      <c r="L139" s="4" t="s">
        <v>59</v>
      </c>
      <c r="M139" s="4"/>
      <c r="N139" s="4"/>
      <c r="O139" s="4"/>
      <c r="P139" s="5" t="s">
        <v>29</v>
      </c>
      <c r="Q139" s="12">
        <f t="shared" si="2"/>
        <v>0.16065573770491803</v>
      </c>
    </row>
    <row r="140" spans="1:17" ht="15.6" x14ac:dyDescent="0.3">
      <c r="A140" s="3" t="s">
        <v>305</v>
      </c>
      <c r="B140" s="3" t="s">
        <v>25</v>
      </c>
      <c r="C140" s="3" t="s">
        <v>306</v>
      </c>
      <c r="D140" s="3" t="s">
        <v>21</v>
      </c>
      <c r="E140" s="3" t="s">
        <v>100</v>
      </c>
      <c r="F140" s="3">
        <v>2746</v>
      </c>
      <c r="G140" s="3">
        <v>156</v>
      </c>
      <c r="H140" s="3">
        <v>203</v>
      </c>
      <c r="I140" s="3">
        <v>32952</v>
      </c>
      <c r="J140" s="3">
        <v>32147</v>
      </c>
      <c r="K140" s="3">
        <v>147</v>
      </c>
      <c r="L140" s="4" t="s">
        <v>35</v>
      </c>
      <c r="M140" s="4"/>
      <c r="N140" s="4"/>
      <c r="O140" s="4"/>
      <c r="P140" s="5" t="s">
        <v>18</v>
      </c>
      <c r="Q140" s="12">
        <f t="shared" si="2"/>
        <v>9.422796795338674E-2</v>
      </c>
    </row>
    <row r="141" spans="1:17" ht="15.6" x14ac:dyDescent="0.3">
      <c r="A141" s="3" t="s">
        <v>307</v>
      </c>
      <c r="B141" s="3" t="s">
        <v>40</v>
      </c>
      <c r="C141" s="3" t="s">
        <v>308</v>
      </c>
      <c r="D141" s="3" t="s">
        <v>49</v>
      </c>
      <c r="E141" s="3" t="s">
        <v>56</v>
      </c>
      <c r="F141" s="3">
        <v>2291</v>
      </c>
      <c r="G141" s="3">
        <v>78</v>
      </c>
      <c r="H141" s="3">
        <v>485</v>
      </c>
      <c r="I141" s="3">
        <v>18328</v>
      </c>
      <c r="J141" s="3">
        <v>18101</v>
      </c>
      <c r="K141" s="3">
        <v>10</v>
      </c>
      <c r="L141" s="4" t="s">
        <v>35</v>
      </c>
      <c r="M141" s="4" t="s">
        <v>554</v>
      </c>
      <c r="N141" s="4"/>
      <c r="O141" s="4"/>
      <c r="P141" s="5" t="s">
        <v>23</v>
      </c>
      <c r="Q141" s="12">
        <f t="shared" si="2"/>
        <v>0.15571802706241816</v>
      </c>
    </row>
    <row r="142" spans="1:17" ht="15.6" x14ac:dyDescent="0.3">
      <c r="A142" s="3" t="s">
        <v>309</v>
      </c>
      <c r="B142" s="3" t="s">
        <v>14</v>
      </c>
      <c r="C142" s="3" t="s">
        <v>310</v>
      </c>
      <c r="D142" s="3" t="s">
        <v>49</v>
      </c>
      <c r="E142" s="3" t="s">
        <v>128</v>
      </c>
      <c r="F142" s="3">
        <v>3170</v>
      </c>
      <c r="G142" s="3">
        <v>857</v>
      </c>
      <c r="H142" s="3">
        <v>379</v>
      </c>
      <c r="I142" s="3">
        <v>19020</v>
      </c>
      <c r="J142" s="3">
        <v>18559</v>
      </c>
      <c r="K142" s="3">
        <v>240</v>
      </c>
      <c r="L142" s="4" t="s">
        <v>59</v>
      </c>
      <c r="M142" s="4"/>
      <c r="N142" s="4"/>
      <c r="O142" s="4"/>
      <c r="P142" s="5"/>
      <c r="Q142" s="12">
        <f t="shared" si="2"/>
        <v>0.2316508937960042</v>
      </c>
    </row>
    <row r="143" spans="1:17" ht="15.6" x14ac:dyDescent="0.3">
      <c r="A143" s="3" t="s">
        <v>311</v>
      </c>
      <c r="B143" s="3" t="s">
        <v>25</v>
      </c>
      <c r="C143" s="3" t="s">
        <v>257</v>
      </c>
      <c r="D143" s="3" t="s">
        <v>33</v>
      </c>
      <c r="E143" s="3" t="s">
        <v>150</v>
      </c>
      <c r="F143" s="3">
        <v>2070</v>
      </c>
      <c r="G143" s="3">
        <v>275</v>
      </c>
      <c r="H143" s="3">
        <v>386</v>
      </c>
      <c r="I143" s="3">
        <v>39330</v>
      </c>
      <c r="J143" s="3">
        <v>38627</v>
      </c>
      <c r="K143" s="3">
        <v>114</v>
      </c>
      <c r="L143" s="4" t="s">
        <v>59</v>
      </c>
      <c r="M143" s="4"/>
      <c r="N143" s="4"/>
      <c r="O143" s="4"/>
      <c r="P143" s="5" t="s">
        <v>36</v>
      </c>
      <c r="Q143" s="12">
        <f t="shared" si="2"/>
        <v>6.9438087973557078E-2</v>
      </c>
    </row>
    <row r="144" spans="1:17" ht="15.6" x14ac:dyDescent="0.3">
      <c r="A144" s="3" t="s">
        <v>312</v>
      </c>
      <c r="B144" s="3" t="s">
        <v>25</v>
      </c>
      <c r="C144" s="3" t="s">
        <v>267</v>
      </c>
      <c r="D144" s="3" t="s">
        <v>42</v>
      </c>
      <c r="E144" s="3" t="s">
        <v>65</v>
      </c>
      <c r="F144" s="3">
        <v>80</v>
      </c>
      <c r="G144" s="3">
        <v>362</v>
      </c>
      <c r="H144" s="3">
        <v>80</v>
      </c>
      <c r="I144" s="3">
        <v>1040</v>
      </c>
      <c r="J144" s="3">
        <v>349</v>
      </c>
      <c r="K144" s="3">
        <v>117</v>
      </c>
      <c r="L144" s="4" t="s">
        <v>28</v>
      </c>
      <c r="M144" s="4"/>
      <c r="N144" s="4"/>
      <c r="O144" s="4"/>
      <c r="P144" s="5" t="s">
        <v>29</v>
      </c>
      <c r="Q144" s="12">
        <f t="shared" si="2"/>
        <v>0.50192307692307692</v>
      </c>
    </row>
    <row r="145" spans="1:17" ht="15.6" x14ac:dyDescent="0.3">
      <c r="A145" s="3" t="s">
        <v>313</v>
      </c>
      <c r="B145" s="3" t="s">
        <v>25</v>
      </c>
      <c r="C145" s="3" t="s">
        <v>195</v>
      </c>
      <c r="D145" s="3" t="s">
        <v>33</v>
      </c>
      <c r="E145" s="3" t="s">
        <v>150</v>
      </c>
      <c r="F145" s="3">
        <v>4929</v>
      </c>
      <c r="G145" s="3">
        <v>749</v>
      </c>
      <c r="H145" s="3">
        <v>452</v>
      </c>
      <c r="I145" s="3">
        <v>93651</v>
      </c>
      <c r="J145" s="3">
        <v>92810</v>
      </c>
      <c r="K145" s="3">
        <v>66</v>
      </c>
      <c r="L145" s="4" t="s">
        <v>35</v>
      </c>
      <c r="M145" s="4"/>
      <c r="N145" s="4"/>
      <c r="O145" s="4"/>
      <c r="P145" s="5" t="s">
        <v>36</v>
      </c>
      <c r="Q145" s="12">
        <f t="shared" si="2"/>
        <v>6.5455787978772245E-2</v>
      </c>
    </row>
    <row r="146" spans="1:17" ht="15.6" x14ac:dyDescent="0.3">
      <c r="A146" s="3" t="s">
        <v>314</v>
      </c>
      <c r="B146" s="3" t="s">
        <v>31</v>
      </c>
      <c r="C146" s="3" t="s">
        <v>32</v>
      </c>
      <c r="D146" s="3" t="s">
        <v>42</v>
      </c>
      <c r="E146" s="3" t="s">
        <v>85</v>
      </c>
      <c r="F146" s="3">
        <v>1878</v>
      </c>
      <c r="G146" s="3">
        <v>62</v>
      </c>
      <c r="H146" s="3">
        <v>179</v>
      </c>
      <c r="I146" s="3">
        <v>37560</v>
      </c>
      <c r="J146" s="3">
        <v>36874</v>
      </c>
      <c r="K146" s="3">
        <v>142</v>
      </c>
      <c r="L146" s="4" t="s">
        <v>28</v>
      </c>
      <c r="M146" s="4"/>
      <c r="N146" s="4"/>
      <c r="O146" s="4"/>
      <c r="P146" s="5" t="s">
        <v>36</v>
      </c>
      <c r="Q146" s="12">
        <f t="shared" si="2"/>
        <v>5.6416400425985093E-2</v>
      </c>
    </row>
    <row r="147" spans="1:17" ht="15.6" x14ac:dyDescent="0.3">
      <c r="A147" s="3" t="s">
        <v>315</v>
      </c>
      <c r="B147" s="3" t="s">
        <v>25</v>
      </c>
      <c r="C147" s="3" t="s">
        <v>316</v>
      </c>
      <c r="D147" s="3" t="s">
        <v>16</v>
      </c>
      <c r="E147" s="3" t="s">
        <v>27</v>
      </c>
      <c r="F147" s="3">
        <v>3065</v>
      </c>
      <c r="G147" s="3">
        <v>772</v>
      </c>
      <c r="H147" s="3">
        <v>142</v>
      </c>
      <c r="I147" s="3">
        <v>18390</v>
      </c>
      <c r="J147" s="3">
        <v>17875</v>
      </c>
      <c r="K147" s="3">
        <v>200</v>
      </c>
      <c r="L147" s="4" t="s">
        <v>35</v>
      </c>
      <c r="M147" s="4" t="s">
        <v>552</v>
      </c>
      <c r="N147" s="4"/>
      <c r="O147" s="4"/>
      <c r="P147" s="5"/>
      <c r="Q147" s="12">
        <f t="shared" si="2"/>
        <v>0.21636759108210984</v>
      </c>
    </row>
    <row r="148" spans="1:17" ht="15.6" x14ac:dyDescent="0.3">
      <c r="A148" s="3" t="s">
        <v>317</v>
      </c>
      <c r="B148" s="3" t="s">
        <v>31</v>
      </c>
      <c r="C148" s="3" t="s">
        <v>163</v>
      </c>
      <c r="D148" s="3" t="s">
        <v>16</v>
      </c>
      <c r="E148" s="3" t="s">
        <v>79</v>
      </c>
      <c r="F148" s="3">
        <v>3256</v>
      </c>
      <c r="G148" s="3">
        <v>459</v>
      </c>
      <c r="H148" s="3">
        <v>266</v>
      </c>
      <c r="I148" s="3">
        <v>26048</v>
      </c>
      <c r="J148" s="3">
        <v>25529</v>
      </c>
      <c r="K148" s="3">
        <v>143</v>
      </c>
      <c r="L148" s="4" t="s">
        <v>28</v>
      </c>
      <c r="M148" s="4"/>
      <c r="N148" s="4"/>
      <c r="O148" s="4"/>
      <c r="P148" s="5" t="s">
        <v>23</v>
      </c>
      <c r="Q148" s="12">
        <f t="shared" si="2"/>
        <v>0.15283323095823095</v>
      </c>
    </row>
    <row r="149" spans="1:17" ht="15.6" x14ac:dyDescent="0.3">
      <c r="A149" s="3" t="s">
        <v>318</v>
      </c>
      <c r="B149" s="3" t="s">
        <v>31</v>
      </c>
      <c r="C149" s="3" t="s">
        <v>165</v>
      </c>
      <c r="D149" s="3" t="s">
        <v>71</v>
      </c>
      <c r="E149" s="3" t="s">
        <v>82</v>
      </c>
      <c r="F149" s="3">
        <v>4133</v>
      </c>
      <c r="G149" s="3">
        <v>466</v>
      </c>
      <c r="H149" s="3">
        <v>327</v>
      </c>
      <c r="I149" s="3">
        <v>24798</v>
      </c>
      <c r="J149" s="3">
        <v>24620</v>
      </c>
      <c r="K149" s="3">
        <v>176</v>
      </c>
      <c r="L149" s="4" t="s">
        <v>35</v>
      </c>
      <c r="M149" s="4"/>
      <c r="N149" s="4"/>
      <c r="O149" s="4"/>
      <c r="P149" s="5" t="s">
        <v>36</v>
      </c>
      <c r="Q149" s="12">
        <f t="shared" si="2"/>
        <v>0.19864505202032423</v>
      </c>
    </row>
    <row r="150" spans="1:17" ht="15.6" x14ac:dyDescent="0.3">
      <c r="A150" s="3" t="s">
        <v>319</v>
      </c>
      <c r="B150" s="3" t="s">
        <v>14</v>
      </c>
      <c r="C150" s="3" t="s">
        <v>320</v>
      </c>
      <c r="D150" s="3" t="s">
        <v>71</v>
      </c>
      <c r="E150" s="3" t="s">
        <v>141</v>
      </c>
      <c r="F150" s="3">
        <v>1702</v>
      </c>
      <c r="G150" s="3">
        <v>750</v>
      </c>
      <c r="H150" s="3">
        <v>179</v>
      </c>
      <c r="I150" s="3">
        <v>34040</v>
      </c>
      <c r="J150" s="3">
        <v>33174</v>
      </c>
      <c r="K150" s="3">
        <v>76</v>
      </c>
      <c r="L150" s="4" t="s">
        <v>35</v>
      </c>
      <c r="M150" s="4"/>
      <c r="N150" s="4"/>
      <c r="O150" s="4"/>
      <c r="P150" s="5" t="s">
        <v>18</v>
      </c>
      <c r="Q150" s="12">
        <f t="shared" si="2"/>
        <v>7.7291421856639245E-2</v>
      </c>
    </row>
    <row r="151" spans="1:17" ht="15.6" x14ac:dyDescent="0.3">
      <c r="A151" s="3" t="s">
        <v>321</v>
      </c>
      <c r="B151" s="3" t="s">
        <v>25</v>
      </c>
      <c r="C151" s="3" t="s">
        <v>322</v>
      </c>
      <c r="D151" s="3" t="s">
        <v>42</v>
      </c>
      <c r="E151" s="3" t="s">
        <v>65</v>
      </c>
      <c r="F151" s="3">
        <v>4295</v>
      </c>
      <c r="G151" s="3">
        <v>853</v>
      </c>
      <c r="H151" s="3">
        <v>325</v>
      </c>
      <c r="I151" s="3">
        <v>85900</v>
      </c>
      <c r="J151" s="3">
        <v>85788</v>
      </c>
      <c r="K151" s="3">
        <v>290</v>
      </c>
      <c r="L151" s="4" t="s">
        <v>28</v>
      </c>
      <c r="M151" s="4"/>
      <c r="N151" s="4"/>
      <c r="O151" s="4"/>
      <c r="P151" s="5" t="s">
        <v>36</v>
      </c>
      <c r="Q151" s="12">
        <f t="shared" si="2"/>
        <v>6.3713620488940623E-2</v>
      </c>
    </row>
    <row r="152" spans="1:17" ht="15.6" x14ac:dyDescent="0.3">
      <c r="A152" s="3" t="s">
        <v>323</v>
      </c>
      <c r="B152" s="3" t="s">
        <v>31</v>
      </c>
      <c r="C152" s="3" t="s">
        <v>180</v>
      </c>
      <c r="D152" s="3" t="s">
        <v>49</v>
      </c>
      <c r="E152" s="3" t="s">
        <v>209</v>
      </c>
      <c r="F152" s="3">
        <v>3559</v>
      </c>
      <c r="G152" s="3">
        <v>59</v>
      </c>
      <c r="H152" s="3">
        <v>289</v>
      </c>
      <c r="I152" s="3">
        <v>35590</v>
      </c>
      <c r="J152" s="3">
        <v>35105</v>
      </c>
      <c r="K152" s="3">
        <v>122</v>
      </c>
      <c r="L152" s="4" t="s">
        <v>35</v>
      </c>
      <c r="M152" s="4"/>
      <c r="N152" s="4"/>
      <c r="O152" s="4"/>
      <c r="P152" s="5" t="s">
        <v>18</v>
      </c>
      <c r="Q152" s="12">
        <f t="shared" si="2"/>
        <v>0.10977802753582468</v>
      </c>
    </row>
    <row r="153" spans="1:17" ht="15.6" x14ac:dyDescent="0.3">
      <c r="A153" s="3" t="s">
        <v>324</v>
      </c>
      <c r="B153" s="3" t="s">
        <v>40</v>
      </c>
      <c r="C153" s="3" t="s">
        <v>325</v>
      </c>
      <c r="D153" s="3" t="s">
        <v>49</v>
      </c>
      <c r="E153" s="3" t="s">
        <v>56</v>
      </c>
      <c r="F153" s="3">
        <v>4804</v>
      </c>
      <c r="G153" s="3">
        <v>550</v>
      </c>
      <c r="H153" s="3">
        <v>270</v>
      </c>
      <c r="I153" s="3">
        <v>28824</v>
      </c>
      <c r="J153" s="3">
        <v>28370</v>
      </c>
      <c r="K153" s="3">
        <v>47</v>
      </c>
      <c r="L153" s="4" t="s">
        <v>35</v>
      </c>
      <c r="M153" s="4"/>
      <c r="N153" s="4"/>
      <c r="O153" s="4"/>
      <c r="P153" s="5" t="s">
        <v>36</v>
      </c>
      <c r="Q153" s="12">
        <f t="shared" si="2"/>
        <v>0.19511518179295032</v>
      </c>
    </row>
    <row r="154" spans="1:17" ht="15.6" x14ac:dyDescent="0.3">
      <c r="A154" s="3" t="s">
        <v>326</v>
      </c>
      <c r="B154" s="3" t="s">
        <v>14</v>
      </c>
      <c r="C154" s="3" t="s">
        <v>327</v>
      </c>
      <c r="D154" s="3" t="s">
        <v>71</v>
      </c>
      <c r="E154" s="3" t="s">
        <v>141</v>
      </c>
      <c r="F154" s="3">
        <v>754</v>
      </c>
      <c r="G154" s="3">
        <v>197</v>
      </c>
      <c r="H154" s="3">
        <v>257</v>
      </c>
      <c r="I154" s="3">
        <v>6786</v>
      </c>
      <c r="J154" s="3">
        <v>6221</v>
      </c>
      <c r="K154" s="3">
        <v>212</v>
      </c>
      <c r="L154" s="4" t="s">
        <v>28</v>
      </c>
      <c r="M154" s="4"/>
      <c r="N154" s="4"/>
      <c r="O154" s="4"/>
      <c r="P154" s="5" t="s">
        <v>29</v>
      </c>
      <c r="Q154" s="12">
        <f t="shared" si="2"/>
        <v>0.17801355732390214</v>
      </c>
    </row>
    <row r="155" spans="1:17" ht="15.6" x14ac:dyDescent="0.3">
      <c r="A155" s="3" t="s">
        <v>328</v>
      </c>
      <c r="B155" s="3" t="s">
        <v>31</v>
      </c>
      <c r="C155" s="3" t="s">
        <v>203</v>
      </c>
      <c r="D155" s="3" t="s">
        <v>42</v>
      </c>
      <c r="E155" s="3" t="s">
        <v>85</v>
      </c>
      <c r="F155" s="3">
        <v>985</v>
      </c>
      <c r="G155" s="3">
        <v>932</v>
      </c>
      <c r="H155" s="3">
        <v>287</v>
      </c>
      <c r="I155" s="3">
        <v>6895</v>
      </c>
      <c r="J155" s="3">
        <v>6757</v>
      </c>
      <c r="K155" s="3">
        <v>64</v>
      </c>
      <c r="L155" s="4" t="s">
        <v>59</v>
      </c>
      <c r="M155" s="4"/>
      <c r="N155" s="4"/>
      <c r="O155" s="4"/>
      <c r="P155" s="5" t="s">
        <v>36</v>
      </c>
      <c r="Q155" s="12">
        <f t="shared" si="2"/>
        <v>0.31965192168237855</v>
      </c>
    </row>
    <row r="156" spans="1:17" ht="15.6" x14ac:dyDescent="0.3">
      <c r="A156" s="3" t="s">
        <v>329</v>
      </c>
      <c r="B156" s="3" t="s">
        <v>25</v>
      </c>
      <c r="C156" s="3" t="s">
        <v>330</v>
      </c>
      <c r="D156" s="3" t="s">
        <v>49</v>
      </c>
      <c r="E156" s="3" t="s">
        <v>50</v>
      </c>
      <c r="F156" s="3">
        <v>2283</v>
      </c>
      <c r="G156" s="3">
        <v>210</v>
      </c>
      <c r="H156" s="3">
        <v>130</v>
      </c>
      <c r="I156" s="3">
        <v>22830</v>
      </c>
      <c r="J156" s="3">
        <v>22617</v>
      </c>
      <c r="K156" s="3">
        <v>143</v>
      </c>
      <c r="L156" s="4" t="s">
        <v>59</v>
      </c>
      <c r="M156" s="4"/>
      <c r="N156" s="4"/>
      <c r="O156" s="4"/>
      <c r="P156" s="5" t="s">
        <v>23</v>
      </c>
      <c r="Q156" s="12">
        <f t="shared" si="2"/>
        <v>0.11489268506351293</v>
      </c>
    </row>
    <row r="157" spans="1:17" ht="15.6" x14ac:dyDescent="0.3">
      <c r="A157" s="3" t="s">
        <v>331</v>
      </c>
      <c r="B157" s="3" t="s">
        <v>40</v>
      </c>
      <c r="C157" s="3" t="s">
        <v>332</v>
      </c>
      <c r="D157" s="3" t="s">
        <v>42</v>
      </c>
      <c r="E157" s="3" t="s">
        <v>43</v>
      </c>
      <c r="F157" s="3">
        <v>3352</v>
      </c>
      <c r="G157" s="3">
        <v>941</v>
      </c>
      <c r="H157" s="3">
        <v>482</v>
      </c>
      <c r="I157" s="3">
        <v>43576</v>
      </c>
      <c r="J157" s="3">
        <v>43338</v>
      </c>
      <c r="K157" s="3">
        <v>240</v>
      </c>
      <c r="L157" s="4" t="s">
        <v>59</v>
      </c>
      <c r="M157" s="4"/>
      <c r="N157" s="4"/>
      <c r="O157" s="4"/>
      <c r="P157" s="5" t="s">
        <v>23</v>
      </c>
      <c r="Q157" s="12">
        <f t="shared" si="2"/>
        <v>0.1095786671562328</v>
      </c>
    </row>
    <row r="158" spans="1:17" ht="15.6" x14ac:dyDescent="0.3">
      <c r="A158" s="3" t="s">
        <v>333</v>
      </c>
      <c r="B158" s="3" t="s">
        <v>25</v>
      </c>
      <c r="C158" s="3" t="s">
        <v>334</v>
      </c>
      <c r="D158" s="3" t="s">
        <v>33</v>
      </c>
      <c r="E158" s="3" t="s">
        <v>150</v>
      </c>
      <c r="F158" s="3">
        <v>4775</v>
      </c>
      <c r="G158" s="3">
        <v>173</v>
      </c>
      <c r="H158" s="3">
        <v>206</v>
      </c>
      <c r="I158" s="3">
        <v>47750</v>
      </c>
      <c r="J158" s="3">
        <v>47544</v>
      </c>
      <c r="K158" s="3">
        <v>187</v>
      </c>
      <c r="L158" s="4" t="s">
        <v>59</v>
      </c>
      <c r="M158" s="4"/>
      <c r="N158" s="4"/>
      <c r="O158" s="4"/>
      <c r="P158" s="5" t="s">
        <v>23</v>
      </c>
      <c r="Q158" s="12">
        <f t="shared" si="2"/>
        <v>0.10793717277486911</v>
      </c>
    </row>
    <row r="159" spans="1:17" ht="15.6" x14ac:dyDescent="0.3">
      <c r="A159" s="3" t="s">
        <v>335</v>
      </c>
      <c r="B159" s="3" t="s">
        <v>31</v>
      </c>
      <c r="C159" s="3" t="s">
        <v>336</v>
      </c>
      <c r="D159" s="3" t="s">
        <v>33</v>
      </c>
      <c r="E159" s="3" t="s">
        <v>34</v>
      </c>
      <c r="F159" s="3">
        <v>1762</v>
      </c>
      <c r="G159" s="3">
        <v>405</v>
      </c>
      <c r="H159" s="3">
        <v>423</v>
      </c>
      <c r="I159" s="3">
        <v>22906</v>
      </c>
      <c r="J159" s="3">
        <v>21925</v>
      </c>
      <c r="K159" s="3">
        <v>25</v>
      </c>
      <c r="L159" s="4" t="s">
        <v>28</v>
      </c>
      <c r="M159" s="4"/>
      <c r="N159" s="4"/>
      <c r="O159" s="4"/>
      <c r="P159" s="5" t="s">
        <v>18</v>
      </c>
      <c r="Q159" s="12">
        <f t="shared" si="2"/>
        <v>0.11307081114118571</v>
      </c>
    </row>
    <row r="160" spans="1:17" ht="15.6" x14ac:dyDescent="0.3">
      <c r="A160" s="3" t="s">
        <v>337</v>
      </c>
      <c r="B160" s="3" t="s">
        <v>40</v>
      </c>
      <c r="C160" s="3" t="s">
        <v>125</v>
      </c>
      <c r="D160" s="3" t="s">
        <v>33</v>
      </c>
      <c r="E160" s="3" t="s">
        <v>68</v>
      </c>
      <c r="F160" s="3">
        <v>2120</v>
      </c>
      <c r="G160" s="3">
        <v>158</v>
      </c>
      <c r="H160" s="3">
        <v>488</v>
      </c>
      <c r="I160" s="3">
        <v>12720</v>
      </c>
      <c r="J160" s="3">
        <v>12085</v>
      </c>
      <c r="K160" s="3">
        <v>17</v>
      </c>
      <c r="L160" s="4" t="s">
        <v>59</v>
      </c>
      <c r="M160" s="4"/>
      <c r="N160" s="4"/>
      <c r="O160" s="4"/>
      <c r="P160" s="5" t="s">
        <v>23</v>
      </c>
      <c r="Q160" s="12">
        <f t="shared" si="2"/>
        <v>0.21745283018867925</v>
      </c>
    </row>
    <row r="161" spans="1:17" ht="15.6" x14ac:dyDescent="0.3">
      <c r="A161" s="3" t="s">
        <v>338</v>
      </c>
      <c r="B161" s="3" t="s">
        <v>14</v>
      </c>
      <c r="C161" s="3" t="s">
        <v>339</v>
      </c>
      <c r="D161" s="3" t="s">
        <v>71</v>
      </c>
      <c r="E161" s="3" t="s">
        <v>141</v>
      </c>
      <c r="F161" s="3">
        <v>1082</v>
      </c>
      <c r="G161" s="3">
        <v>209</v>
      </c>
      <c r="H161" s="3">
        <v>484</v>
      </c>
      <c r="I161" s="3">
        <v>19476</v>
      </c>
      <c r="J161" s="3">
        <v>18654</v>
      </c>
      <c r="K161" s="3">
        <v>20</v>
      </c>
      <c r="L161" s="4" t="s">
        <v>28</v>
      </c>
      <c r="M161" s="4"/>
      <c r="N161" s="4"/>
      <c r="O161" s="4"/>
      <c r="P161" s="5"/>
      <c r="Q161" s="12">
        <f t="shared" si="2"/>
        <v>9.1137810638734856E-2</v>
      </c>
    </row>
    <row r="162" spans="1:17" ht="15.6" x14ac:dyDescent="0.3">
      <c r="A162" s="3" t="s">
        <v>340</v>
      </c>
      <c r="B162" s="3" t="s">
        <v>14</v>
      </c>
      <c r="C162" s="3" t="s">
        <v>341</v>
      </c>
      <c r="D162" s="3" t="s">
        <v>21</v>
      </c>
      <c r="E162" s="3" t="s">
        <v>22</v>
      </c>
      <c r="F162" s="3">
        <v>4671</v>
      </c>
      <c r="G162" s="3">
        <v>876</v>
      </c>
      <c r="H162" s="3">
        <v>366</v>
      </c>
      <c r="I162" s="3">
        <v>51381</v>
      </c>
      <c r="J162" s="3">
        <v>50565</v>
      </c>
      <c r="K162" s="3">
        <v>245</v>
      </c>
      <c r="L162" s="4" t="s">
        <v>28</v>
      </c>
      <c r="M162" s="4"/>
      <c r="N162" s="4"/>
      <c r="O162" s="4"/>
      <c r="P162" s="5" t="s">
        <v>36</v>
      </c>
      <c r="Q162" s="12">
        <f t="shared" si="2"/>
        <v>0.11508145034156594</v>
      </c>
    </row>
    <row r="163" spans="1:17" ht="15.6" x14ac:dyDescent="0.3">
      <c r="A163" s="3" t="s">
        <v>342</v>
      </c>
      <c r="B163" s="3" t="s">
        <v>40</v>
      </c>
      <c r="C163" s="3" t="s">
        <v>343</v>
      </c>
      <c r="D163" s="3" t="s">
        <v>33</v>
      </c>
      <c r="E163" s="3" t="s">
        <v>68</v>
      </c>
      <c r="F163" s="3">
        <v>3430</v>
      </c>
      <c r="G163" s="3">
        <v>566</v>
      </c>
      <c r="H163" s="3">
        <v>164</v>
      </c>
      <c r="I163" s="3">
        <v>48020</v>
      </c>
      <c r="J163" s="3">
        <v>47305</v>
      </c>
      <c r="K163" s="3">
        <v>120</v>
      </c>
      <c r="L163" s="4" t="s">
        <v>59</v>
      </c>
      <c r="M163" s="4"/>
      <c r="N163" s="4"/>
      <c r="O163" s="4"/>
      <c r="P163" s="5"/>
      <c r="Q163" s="12">
        <f t="shared" si="2"/>
        <v>8.6630570595585168E-2</v>
      </c>
    </row>
    <row r="164" spans="1:17" ht="15.6" x14ac:dyDescent="0.3">
      <c r="A164" s="3" t="s">
        <v>344</v>
      </c>
      <c r="B164" s="3" t="s">
        <v>31</v>
      </c>
      <c r="C164" s="3" t="s">
        <v>345</v>
      </c>
      <c r="D164" s="3" t="s">
        <v>49</v>
      </c>
      <c r="E164" s="3" t="s">
        <v>209</v>
      </c>
      <c r="F164" s="3">
        <v>4501</v>
      </c>
      <c r="G164" s="3">
        <v>375</v>
      </c>
      <c r="H164" s="3">
        <v>323</v>
      </c>
      <c r="I164" s="3">
        <v>22505</v>
      </c>
      <c r="J164" s="3">
        <v>21836</v>
      </c>
      <c r="K164" s="3">
        <v>132</v>
      </c>
      <c r="L164" s="4" t="s">
        <v>28</v>
      </c>
      <c r="M164" s="4"/>
      <c r="N164" s="4"/>
      <c r="O164" s="4"/>
      <c r="P164" s="5" t="s">
        <v>23</v>
      </c>
      <c r="Q164" s="12">
        <f t="shared" si="2"/>
        <v>0.23101532992668297</v>
      </c>
    </row>
    <row r="165" spans="1:17" ht="15.6" x14ac:dyDescent="0.3">
      <c r="A165" s="3" t="s">
        <v>346</v>
      </c>
      <c r="B165" s="3" t="s">
        <v>25</v>
      </c>
      <c r="C165" s="3" t="s">
        <v>89</v>
      </c>
      <c r="D165" s="3" t="s">
        <v>21</v>
      </c>
      <c r="E165" s="3" t="s">
        <v>100</v>
      </c>
      <c r="F165" s="3">
        <v>4934</v>
      </c>
      <c r="G165" s="3">
        <v>971</v>
      </c>
      <c r="H165" s="3">
        <v>156</v>
      </c>
      <c r="I165" s="3">
        <v>39472</v>
      </c>
      <c r="J165" s="3">
        <v>39025</v>
      </c>
      <c r="K165" s="3">
        <v>169</v>
      </c>
      <c r="L165" s="4" t="s">
        <v>28</v>
      </c>
      <c r="M165" s="4" t="s">
        <v>552</v>
      </c>
      <c r="N165" s="4"/>
      <c r="O165" s="4"/>
      <c r="P165" s="5" t="s">
        <v>36</v>
      </c>
      <c r="Q165" s="12">
        <f t="shared" si="2"/>
        <v>0.15355188488042157</v>
      </c>
    </row>
    <row r="166" spans="1:17" ht="15.6" x14ac:dyDescent="0.3">
      <c r="A166" s="3" t="s">
        <v>347</v>
      </c>
      <c r="B166" s="3" t="s">
        <v>14</v>
      </c>
      <c r="C166" s="3" t="s">
        <v>230</v>
      </c>
      <c r="D166" s="3" t="s">
        <v>21</v>
      </c>
      <c r="E166" s="3" t="s">
        <v>22</v>
      </c>
      <c r="F166" s="3">
        <v>3239</v>
      </c>
      <c r="G166" s="3">
        <v>43</v>
      </c>
      <c r="H166" s="3">
        <v>211</v>
      </c>
      <c r="I166" s="3">
        <v>22673</v>
      </c>
      <c r="J166" s="3">
        <v>22171</v>
      </c>
      <c r="K166" s="3">
        <v>230</v>
      </c>
      <c r="L166" s="4" t="s">
        <v>28</v>
      </c>
      <c r="M166" s="4"/>
      <c r="N166" s="4"/>
      <c r="O166" s="4"/>
      <c r="P166" s="5" t="s">
        <v>23</v>
      </c>
      <c r="Q166" s="12">
        <f t="shared" si="2"/>
        <v>0.15405989502933004</v>
      </c>
    </row>
    <row r="167" spans="1:17" ht="15.6" x14ac:dyDescent="0.3">
      <c r="A167" s="3" t="s">
        <v>348</v>
      </c>
      <c r="B167" s="3" t="s">
        <v>14</v>
      </c>
      <c r="C167" s="3" t="s">
        <v>67</v>
      </c>
      <c r="D167" s="3" t="s">
        <v>16</v>
      </c>
      <c r="E167" s="3" t="s">
        <v>17</v>
      </c>
      <c r="F167" s="3">
        <v>1076</v>
      </c>
      <c r="G167" s="3">
        <v>313</v>
      </c>
      <c r="H167" s="3">
        <v>306</v>
      </c>
      <c r="I167" s="3">
        <v>11836</v>
      </c>
      <c r="J167" s="3">
        <v>11596</v>
      </c>
      <c r="K167" s="3">
        <v>104</v>
      </c>
      <c r="L167" s="4" t="s">
        <v>59</v>
      </c>
      <c r="M167" s="4"/>
      <c r="N167" s="4"/>
      <c r="O167" s="4"/>
      <c r="P167" s="5" t="s">
        <v>18</v>
      </c>
      <c r="Q167" s="12">
        <f t="shared" si="2"/>
        <v>0.14320716458262928</v>
      </c>
    </row>
    <row r="168" spans="1:17" ht="15.6" x14ac:dyDescent="0.3">
      <c r="A168" s="3" t="s">
        <v>349</v>
      </c>
      <c r="B168" s="3" t="s">
        <v>31</v>
      </c>
      <c r="C168" s="3" t="s">
        <v>300</v>
      </c>
      <c r="D168" s="3" t="s">
        <v>21</v>
      </c>
      <c r="E168" s="3" t="s">
        <v>109</v>
      </c>
      <c r="F168" s="3">
        <v>4771</v>
      </c>
      <c r="G168" s="3">
        <v>818</v>
      </c>
      <c r="H168" s="3">
        <v>56</v>
      </c>
      <c r="I168" s="3">
        <v>57252</v>
      </c>
      <c r="J168" s="3">
        <v>56378</v>
      </c>
      <c r="K168" s="3">
        <v>150</v>
      </c>
      <c r="L168" s="4" t="s">
        <v>59</v>
      </c>
      <c r="M168" s="4"/>
      <c r="N168" s="4"/>
      <c r="O168" s="4"/>
      <c r="P168" s="5"/>
      <c r="Q168" s="12">
        <f t="shared" si="2"/>
        <v>9.859917557465242E-2</v>
      </c>
    </row>
    <row r="169" spans="1:17" ht="15.6" x14ac:dyDescent="0.3">
      <c r="A169" s="3" t="s">
        <v>350</v>
      </c>
      <c r="B169" s="3" t="s">
        <v>40</v>
      </c>
      <c r="C169" s="3" t="s">
        <v>351</v>
      </c>
      <c r="D169" s="3" t="s">
        <v>21</v>
      </c>
      <c r="E169" s="3" t="s">
        <v>53</v>
      </c>
      <c r="F169" s="3">
        <v>2418</v>
      </c>
      <c r="G169" s="3">
        <v>754</v>
      </c>
      <c r="H169" s="3">
        <v>54</v>
      </c>
      <c r="I169" s="3">
        <v>43524</v>
      </c>
      <c r="J169" s="3">
        <v>42743</v>
      </c>
      <c r="K169" s="3">
        <v>182</v>
      </c>
      <c r="L169" s="4" t="s">
        <v>35</v>
      </c>
      <c r="M169" s="4"/>
      <c r="N169" s="4"/>
      <c r="O169" s="4"/>
      <c r="P169" s="5" t="s">
        <v>18</v>
      </c>
      <c r="Q169" s="12">
        <f t="shared" si="2"/>
        <v>7.412002573292896E-2</v>
      </c>
    </row>
    <row r="170" spans="1:17" ht="15.6" x14ac:dyDescent="0.3">
      <c r="A170" s="3" t="s">
        <v>352</v>
      </c>
      <c r="B170" s="3" t="s">
        <v>25</v>
      </c>
      <c r="C170" s="3" t="s">
        <v>353</v>
      </c>
      <c r="D170" s="3" t="s">
        <v>71</v>
      </c>
      <c r="E170" s="3" t="s">
        <v>212</v>
      </c>
      <c r="F170" s="3">
        <v>3809</v>
      </c>
      <c r="G170" s="3">
        <v>273</v>
      </c>
      <c r="H170" s="3">
        <v>200</v>
      </c>
      <c r="I170" s="3">
        <v>34281</v>
      </c>
      <c r="J170" s="3">
        <v>33534</v>
      </c>
      <c r="K170" s="3">
        <v>83</v>
      </c>
      <c r="L170" s="4" t="s">
        <v>35</v>
      </c>
      <c r="M170" s="4"/>
      <c r="N170" s="4"/>
      <c r="O170" s="4"/>
      <c r="P170" s="5" t="s">
        <v>18</v>
      </c>
      <c r="Q170" s="12">
        <f t="shared" si="2"/>
        <v>0.12490884163239112</v>
      </c>
    </row>
    <row r="171" spans="1:17" ht="15.6" x14ac:dyDescent="0.3">
      <c r="A171" s="3" t="s">
        <v>354</v>
      </c>
      <c r="B171" s="3" t="s">
        <v>14</v>
      </c>
      <c r="C171" s="3" t="s">
        <v>355</v>
      </c>
      <c r="D171" s="3" t="s">
        <v>21</v>
      </c>
      <c r="E171" s="3" t="s">
        <v>22</v>
      </c>
      <c r="F171" s="3">
        <v>3577</v>
      </c>
      <c r="G171" s="3">
        <v>596</v>
      </c>
      <c r="H171" s="3">
        <v>493</v>
      </c>
      <c r="I171" s="3">
        <v>67963</v>
      </c>
      <c r="J171" s="3">
        <v>67839</v>
      </c>
      <c r="K171" s="3">
        <v>53</v>
      </c>
      <c r="L171" s="4" t="s">
        <v>28</v>
      </c>
      <c r="M171" s="4"/>
      <c r="N171" s="4"/>
      <c r="O171" s="4"/>
      <c r="P171" s="5" t="s">
        <v>29</v>
      </c>
      <c r="Q171" s="12">
        <f t="shared" si="2"/>
        <v>6.8655003457763777E-2</v>
      </c>
    </row>
    <row r="172" spans="1:17" ht="15.6" x14ac:dyDescent="0.3">
      <c r="A172" s="3" t="s">
        <v>356</v>
      </c>
      <c r="B172" s="3" t="s">
        <v>25</v>
      </c>
      <c r="C172" s="3" t="s">
        <v>357</v>
      </c>
      <c r="D172" s="3" t="s">
        <v>71</v>
      </c>
      <c r="E172" s="3" t="s">
        <v>212</v>
      </c>
      <c r="F172" s="3">
        <v>1018</v>
      </c>
      <c r="G172" s="3">
        <v>447</v>
      </c>
      <c r="H172" s="3">
        <v>332</v>
      </c>
      <c r="I172" s="3">
        <v>18324</v>
      </c>
      <c r="J172" s="3">
        <v>18164</v>
      </c>
      <c r="K172" s="3">
        <v>38</v>
      </c>
      <c r="L172" s="4" t="s">
        <v>59</v>
      </c>
      <c r="M172" s="4"/>
      <c r="N172" s="4"/>
      <c r="O172" s="4"/>
      <c r="P172" s="5" t="s">
        <v>23</v>
      </c>
      <c r="Q172" s="12">
        <f t="shared" si="2"/>
        <v>9.8068107400130972E-2</v>
      </c>
    </row>
    <row r="173" spans="1:17" ht="15.6" x14ac:dyDescent="0.3">
      <c r="A173" s="3" t="s">
        <v>358</v>
      </c>
      <c r="B173" s="3" t="s">
        <v>40</v>
      </c>
      <c r="C173" s="3" t="s">
        <v>359</v>
      </c>
      <c r="D173" s="3" t="s">
        <v>42</v>
      </c>
      <c r="E173" s="3" t="s">
        <v>43</v>
      </c>
      <c r="F173" s="3">
        <v>3073</v>
      </c>
      <c r="G173" s="3">
        <v>553</v>
      </c>
      <c r="H173" s="3">
        <v>174</v>
      </c>
      <c r="I173" s="3">
        <v>52241</v>
      </c>
      <c r="J173" s="3">
        <v>51605</v>
      </c>
      <c r="K173" s="3">
        <v>246</v>
      </c>
      <c r="L173" s="4" t="s">
        <v>35</v>
      </c>
      <c r="M173" s="4"/>
      <c r="N173" s="4"/>
      <c r="O173" s="4"/>
      <c r="P173" s="5" t="s">
        <v>29</v>
      </c>
      <c r="Q173" s="12">
        <f t="shared" si="2"/>
        <v>7.2739802071170159E-2</v>
      </c>
    </row>
    <row r="174" spans="1:17" ht="15.6" x14ac:dyDescent="0.3">
      <c r="A174" s="3" t="s">
        <v>360</v>
      </c>
      <c r="B174" s="3" t="s">
        <v>14</v>
      </c>
      <c r="C174" s="3" t="s">
        <v>361</v>
      </c>
      <c r="D174" s="3" t="s">
        <v>71</v>
      </c>
      <c r="E174" s="3" t="s">
        <v>141</v>
      </c>
      <c r="F174" s="3">
        <v>1330</v>
      </c>
      <c r="G174" s="3">
        <v>925</v>
      </c>
      <c r="H174" s="3">
        <v>35</v>
      </c>
      <c r="I174" s="3">
        <v>15960</v>
      </c>
      <c r="J174" s="3">
        <v>15379</v>
      </c>
      <c r="K174" s="3">
        <v>229</v>
      </c>
      <c r="L174" s="4" t="s">
        <v>59</v>
      </c>
      <c r="M174" s="4"/>
      <c r="N174" s="4"/>
      <c r="O174" s="4"/>
      <c r="P174" s="5" t="s">
        <v>29</v>
      </c>
      <c r="Q174" s="12">
        <f t="shared" si="2"/>
        <v>0.14348370927318296</v>
      </c>
    </row>
    <row r="175" spans="1:17" ht="15.6" x14ac:dyDescent="0.3">
      <c r="A175" s="3" t="s">
        <v>362</v>
      </c>
      <c r="B175" s="3" t="s">
        <v>40</v>
      </c>
      <c r="C175" s="3" t="s">
        <v>167</v>
      </c>
      <c r="D175" s="3" t="s">
        <v>21</v>
      </c>
      <c r="E175" s="3" t="s">
        <v>53</v>
      </c>
      <c r="F175" s="3">
        <v>3828</v>
      </c>
      <c r="G175" s="3">
        <v>148</v>
      </c>
      <c r="H175" s="3">
        <v>253</v>
      </c>
      <c r="I175" s="3">
        <v>30624</v>
      </c>
      <c r="J175" s="3">
        <v>30229</v>
      </c>
      <c r="K175" s="3">
        <v>235</v>
      </c>
      <c r="L175" s="4" t="s">
        <v>35</v>
      </c>
      <c r="M175" s="4"/>
      <c r="N175" s="4"/>
      <c r="O175" s="4"/>
      <c r="P175" s="5"/>
      <c r="Q175" s="12">
        <f t="shared" si="2"/>
        <v>0.13809430512016718</v>
      </c>
    </row>
    <row r="176" spans="1:17" ht="15.6" x14ac:dyDescent="0.3">
      <c r="A176" s="3" t="s">
        <v>363</v>
      </c>
      <c r="B176" s="3" t="s">
        <v>31</v>
      </c>
      <c r="C176" s="3" t="s">
        <v>364</v>
      </c>
      <c r="D176" s="3" t="s">
        <v>16</v>
      </c>
      <c r="E176" s="3" t="s">
        <v>79</v>
      </c>
      <c r="F176" s="3">
        <v>142</v>
      </c>
      <c r="G176" s="3">
        <v>784</v>
      </c>
      <c r="H176" s="3">
        <v>183</v>
      </c>
      <c r="I176" s="3">
        <v>1704</v>
      </c>
      <c r="J176" s="3">
        <v>995</v>
      </c>
      <c r="K176" s="3">
        <v>154</v>
      </c>
      <c r="L176" s="4" t="s">
        <v>59</v>
      </c>
      <c r="M176" s="4"/>
      <c r="N176" s="4"/>
      <c r="O176" s="4"/>
      <c r="P176" s="5" t="s">
        <v>36</v>
      </c>
      <c r="Q176" s="12">
        <f t="shared" si="2"/>
        <v>0.6508215962441315</v>
      </c>
    </row>
    <row r="177" spans="1:17" ht="15.6" x14ac:dyDescent="0.3">
      <c r="A177" s="3" t="s">
        <v>365</v>
      </c>
      <c r="B177" s="3" t="s">
        <v>40</v>
      </c>
      <c r="C177" s="3" t="s">
        <v>366</v>
      </c>
      <c r="D177" s="3" t="s">
        <v>71</v>
      </c>
      <c r="E177" s="3" t="s">
        <v>72</v>
      </c>
      <c r="F177" s="3">
        <v>3798</v>
      </c>
      <c r="G177" s="3">
        <v>31</v>
      </c>
      <c r="H177" s="3">
        <v>279</v>
      </c>
      <c r="I177" s="3">
        <v>75960</v>
      </c>
      <c r="J177" s="3">
        <v>75813</v>
      </c>
      <c r="K177" s="3">
        <v>266</v>
      </c>
      <c r="L177" s="4" t="s">
        <v>28</v>
      </c>
      <c r="M177" s="4"/>
      <c r="N177" s="4"/>
      <c r="O177" s="4"/>
      <c r="P177" s="5" t="s">
        <v>18</v>
      </c>
      <c r="Q177" s="12">
        <f t="shared" si="2"/>
        <v>5.4081095313322801E-2</v>
      </c>
    </row>
    <row r="178" spans="1:17" ht="15.6" x14ac:dyDescent="0.3">
      <c r="A178" s="3" t="s">
        <v>367</v>
      </c>
      <c r="B178" s="3" t="s">
        <v>31</v>
      </c>
      <c r="C178" s="3" t="s">
        <v>368</v>
      </c>
      <c r="D178" s="3" t="s">
        <v>42</v>
      </c>
      <c r="E178" s="3" t="s">
        <v>85</v>
      </c>
      <c r="F178" s="3">
        <v>3099</v>
      </c>
      <c r="G178" s="3">
        <v>694</v>
      </c>
      <c r="H178" s="3">
        <v>171</v>
      </c>
      <c r="I178" s="3">
        <v>43386</v>
      </c>
      <c r="J178" s="3">
        <v>42921</v>
      </c>
      <c r="K178" s="3">
        <v>52</v>
      </c>
      <c r="L178" s="4" t="s">
        <v>28</v>
      </c>
      <c r="M178" s="4"/>
      <c r="N178" s="4"/>
      <c r="O178" s="4"/>
      <c r="P178" s="5" t="s">
        <v>29</v>
      </c>
      <c r="Q178" s="12">
        <f t="shared" si="2"/>
        <v>9.1365878393951966E-2</v>
      </c>
    </row>
    <row r="179" spans="1:17" ht="15.6" x14ac:dyDescent="0.3">
      <c r="A179" s="3" t="s">
        <v>369</v>
      </c>
      <c r="B179" s="3" t="s">
        <v>31</v>
      </c>
      <c r="C179" s="3" t="s">
        <v>199</v>
      </c>
      <c r="D179" s="3" t="s">
        <v>71</v>
      </c>
      <c r="E179" s="3" t="s">
        <v>82</v>
      </c>
      <c r="F179" s="3">
        <v>129</v>
      </c>
      <c r="G179" s="3">
        <v>643</v>
      </c>
      <c r="H179" s="3">
        <v>136</v>
      </c>
      <c r="I179" s="3">
        <v>1290</v>
      </c>
      <c r="J179" s="3">
        <v>839</v>
      </c>
      <c r="K179" s="3">
        <v>238</v>
      </c>
      <c r="L179" s="4" t="s">
        <v>28</v>
      </c>
      <c r="M179" s="4"/>
      <c r="N179" s="4"/>
      <c r="O179" s="4"/>
      <c r="P179" s="5" t="s">
        <v>36</v>
      </c>
      <c r="Q179" s="12">
        <f t="shared" si="2"/>
        <v>0.70387596899224802</v>
      </c>
    </row>
    <row r="180" spans="1:17" ht="15.6" x14ac:dyDescent="0.3">
      <c r="A180" s="3" t="s">
        <v>370</v>
      </c>
      <c r="B180" s="3" t="s">
        <v>40</v>
      </c>
      <c r="C180" s="3" t="s">
        <v>308</v>
      </c>
      <c r="D180" s="3" t="s">
        <v>42</v>
      </c>
      <c r="E180" s="3" t="s">
        <v>43</v>
      </c>
      <c r="F180" s="3">
        <v>3796</v>
      </c>
      <c r="G180" s="3">
        <v>667</v>
      </c>
      <c r="H180" s="3">
        <v>395</v>
      </c>
      <c r="I180" s="3">
        <v>64532</v>
      </c>
      <c r="J180" s="3">
        <v>63550</v>
      </c>
      <c r="K180" s="3">
        <v>292</v>
      </c>
      <c r="L180" s="4" t="s">
        <v>28</v>
      </c>
      <c r="M180" s="4"/>
      <c r="N180" s="4"/>
      <c r="O180" s="4"/>
      <c r="P180" s="5"/>
      <c r="Q180" s="12">
        <f t="shared" si="2"/>
        <v>7.5280481001673588E-2</v>
      </c>
    </row>
    <row r="181" spans="1:17" ht="15.6" x14ac:dyDescent="0.3">
      <c r="A181" s="3" t="s">
        <v>371</v>
      </c>
      <c r="B181" s="3" t="s">
        <v>25</v>
      </c>
      <c r="C181" s="3" t="s">
        <v>353</v>
      </c>
      <c r="D181" s="3" t="s">
        <v>21</v>
      </c>
      <c r="E181" s="3" t="s">
        <v>100</v>
      </c>
      <c r="F181" s="3">
        <v>3711</v>
      </c>
      <c r="G181" s="3">
        <v>352</v>
      </c>
      <c r="H181" s="3">
        <v>290</v>
      </c>
      <c r="I181" s="3">
        <v>48243</v>
      </c>
      <c r="J181" s="3">
        <v>47579</v>
      </c>
      <c r="K181" s="3">
        <v>11</v>
      </c>
      <c r="L181" s="4" t="s">
        <v>28</v>
      </c>
      <c r="M181" s="4"/>
      <c r="N181" s="4"/>
      <c r="O181" s="4"/>
      <c r="P181" s="5" t="s">
        <v>18</v>
      </c>
      <c r="Q181" s="12">
        <f t="shared" si="2"/>
        <v>9.023070704558174E-2</v>
      </c>
    </row>
    <row r="182" spans="1:17" ht="15.6" x14ac:dyDescent="0.3">
      <c r="A182" s="3" t="s">
        <v>372</v>
      </c>
      <c r="B182" s="3" t="s">
        <v>25</v>
      </c>
      <c r="C182" s="3" t="s">
        <v>373</v>
      </c>
      <c r="D182" s="3" t="s">
        <v>49</v>
      </c>
      <c r="E182" s="3" t="s">
        <v>50</v>
      </c>
      <c r="F182" s="3">
        <v>606</v>
      </c>
      <c r="G182" s="3">
        <v>789</v>
      </c>
      <c r="H182" s="3">
        <v>470</v>
      </c>
      <c r="I182" s="3">
        <v>7878</v>
      </c>
      <c r="J182" s="3">
        <v>7389</v>
      </c>
      <c r="K182" s="3">
        <v>239</v>
      </c>
      <c r="L182" s="4" t="s">
        <v>35</v>
      </c>
      <c r="M182" s="4"/>
      <c r="N182" s="4"/>
      <c r="O182" s="4"/>
      <c r="P182" s="5" t="s">
        <v>29</v>
      </c>
      <c r="Q182" s="12">
        <f t="shared" si="2"/>
        <v>0.23673521198273673</v>
      </c>
    </row>
    <row r="183" spans="1:17" ht="15.6" x14ac:dyDescent="0.3">
      <c r="A183" s="3" t="s">
        <v>374</v>
      </c>
      <c r="B183" s="3" t="s">
        <v>40</v>
      </c>
      <c r="C183" s="3" t="s">
        <v>111</v>
      </c>
      <c r="D183" s="3" t="s">
        <v>49</v>
      </c>
      <c r="E183" s="3" t="s">
        <v>56</v>
      </c>
      <c r="F183" s="3">
        <v>4689</v>
      </c>
      <c r="G183" s="3">
        <v>134</v>
      </c>
      <c r="H183" s="3">
        <v>403</v>
      </c>
      <c r="I183" s="3">
        <v>51579</v>
      </c>
      <c r="J183" s="3">
        <v>50924</v>
      </c>
      <c r="K183" s="3">
        <v>173</v>
      </c>
      <c r="L183" s="4" t="s">
        <v>28</v>
      </c>
      <c r="M183" s="4"/>
      <c r="N183" s="4"/>
      <c r="O183" s="4"/>
      <c r="P183" s="5" t="s">
        <v>36</v>
      </c>
      <c r="Q183" s="12">
        <f t="shared" si="2"/>
        <v>0.10132030477519921</v>
      </c>
    </row>
    <row r="184" spans="1:17" ht="15.6" x14ac:dyDescent="0.3">
      <c r="A184" s="3" t="s">
        <v>375</v>
      </c>
      <c r="B184" s="3" t="s">
        <v>31</v>
      </c>
      <c r="C184" s="3" t="s">
        <v>376</v>
      </c>
      <c r="D184" s="3" t="s">
        <v>33</v>
      </c>
      <c r="E184" s="3" t="s">
        <v>34</v>
      </c>
      <c r="F184" s="3">
        <v>360</v>
      </c>
      <c r="G184" s="3">
        <v>590</v>
      </c>
      <c r="H184" s="3">
        <v>393</v>
      </c>
      <c r="I184" s="3">
        <v>4680</v>
      </c>
      <c r="J184" s="3">
        <v>4322</v>
      </c>
      <c r="K184" s="3">
        <v>208</v>
      </c>
      <c r="L184" s="4" t="s">
        <v>59</v>
      </c>
      <c r="M184" s="4"/>
      <c r="N184" s="4"/>
      <c r="O184" s="4"/>
      <c r="P184" s="5" t="s">
        <v>23</v>
      </c>
      <c r="Q184" s="12">
        <f t="shared" si="2"/>
        <v>0.28696581196581195</v>
      </c>
    </row>
    <row r="185" spans="1:17" ht="15.6" x14ac:dyDescent="0.3">
      <c r="A185" s="3" t="s">
        <v>377</v>
      </c>
      <c r="B185" s="3" t="s">
        <v>14</v>
      </c>
      <c r="C185" s="3" t="s">
        <v>378</v>
      </c>
      <c r="D185" s="3" t="s">
        <v>49</v>
      </c>
      <c r="E185" s="3" t="s">
        <v>128</v>
      </c>
      <c r="F185" s="3">
        <v>3215</v>
      </c>
      <c r="G185" s="3">
        <v>960</v>
      </c>
      <c r="H185" s="3">
        <v>202</v>
      </c>
      <c r="I185" s="3">
        <v>32150</v>
      </c>
      <c r="J185" s="3">
        <v>31404</v>
      </c>
      <c r="K185" s="3">
        <v>251</v>
      </c>
      <c r="L185" s="4" t="s">
        <v>35</v>
      </c>
      <c r="M185" s="4"/>
      <c r="N185" s="4"/>
      <c r="O185" s="4"/>
      <c r="P185" s="5" t="s">
        <v>18</v>
      </c>
      <c r="Q185" s="12">
        <f t="shared" si="2"/>
        <v>0.13614307931570763</v>
      </c>
    </row>
    <row r="186" spans="1:17" ht="15.6" x14ac:dyDescent="0.3">
      <c r="A186" s="3" t="s">
        <v>379</v>
      </c>
      <c r="B186" s="3" t="s">
        <v>31</v>
      </c>
      <c r="C186" s="3" t="s">
        <v>380</v>
      </c>
      <c r="D186" s="3" t="s">
        <v>42</v>
      </c>
      <c r="E186" s="3" t="s">
        <v>85</v>
      </c>
      <c r="F186" s="3">
        <v>4523</v>
      </c>
      <c r="G186" s="3">
        <v>61</v>
      </c>
      <c r="H186" s="3">
        <v>157</v>
      </c>
      <c r="I186" s="3">
        <v>49753</v>
      </c>
      <c r="J186" s="3">
        <v>49329</v>
      </c>
      <c r="K186" s="3">
        <v>71</v>
      </c>
      <c r="L186" s="4" t="s">
        <v>35</v>
      </c>
      <c r="M186" s="4"/>
      <c r="N186" s="4"/>
      <c r="O186" s="4"/>
      <c r="P186" s="5"/>
      <c r="Q186" s="12">
        <f t="shared" si="2"/>
        <v>9.5290736237010829E-2</v>
      </c>
    </row>
    <row r="187" spans="1:17" ht="15.6" x14ac:dyDescent="0.3">
      <c r="A187" s="3" t="s">
        <v>381</v>
      </c>
      <c r="B187" s="3" t="s">
        <v>40</v>
      </c>
      <c r="C187" s="3" t="s">
        <v>339</v>
      </c>
      <c r="D187" s="3" t="s">
        <v>42</v>
      </c>
      <c r="E187" s="3" t="s">
        <v>43</v>
      </c>
      <c r="F187" s="3">
        <v>4292</v>
      </c>
      <c r="G187" s="3">
        <v>51</v>
      </c>
      <c r="H187" s="3">
        <v>392</v>
      </c>
      <c r="I187" s="3">
        <v>55796</v>
      </c>
      <c r="J187" s="3">
        <v>54826</v>
      </c>
      <c r="K187" s="3">
        <v>264</v>
      </c>
      <c r="L187" s="4" t="s">
        <v>35</v>
      </c>
      <c r="M187" s="4"/>
      <c r="N187" s="4"/>
      <c r="O187" s="4"/>
      <c r="P187" s="5" t="s">
        <v>29</v>
      </c>
      <c r="Q187" s="12">
        <f t="shared" si="2"/>
        <v>8.4862714173059003E-2</v>
      </c>
    </row>
    <row r="188" spans="1:17" ht="15.6" x14ac:dyDescent="0.3">
      <c r="A188" s="3" t="s">
        <v>382</v>
      </c>
      <c r="B188" s="3" t="s">
        <v>14</v>
      </c>
      <c r="C188" s="3" t="s">
        <v>383</v>
      </c>
      <c r="D188" s="3" t="s">
        <v>16</v>
      </c>
      <c r="E188" s="3" t="s">
        <v>17</v>
      </c>
      <c r="F188" s="3">
        <v>1644</v>
      </c>
      <c r="G188" s="3">
        <v>546</v>
      </c>
      <c r="H188" s="3">
        <v>150</v>
      </c>
      <c r="I188" s="3">
        <v>27948</v>
      </c>
      <c r="J188" s="3">
        <v>27184</v>
      </c>
      <c r="K188" s="3">
        <v>300</v>
      </c>
      <c r="L188" s="4" t="s">
        <v>35</v>
      </c>
      <c r="M188" s="4"/>
      <c r="N188" s="4"/>
      <c r="O188" s="4"/>
      <c r="P188" s="5" t="s">
        <v>29</v>
      </c>
      <c r="Q188" s="12">
        <f t="shared" si="2"/>
        <v>8.3726921425504502E-2</v>
      </c>
    </row>
    <row r="189" spans="1:17" ht="15.6" x14ac:dyDescent="0.3">
      <c r="A189" s="3" t="s">
        <v>384</v>
      </c>
      <c r="B189" s="3" t="s">
        <v>25</v>
      </c>
      <c r="C189" s="3" t="s">
        <v>219</v>
      </c>
      <c r="D189" s="3" t="s">
        <v>16</v>
      </c>
      <c r="E189" s="3" t="s">
        <v>27</v>
      </c>
      <c r="F189" s="3">
        <v>2728</v>
      </c>
      <c r="G189" s="3">
        <v>533</v>
      </c>
      <c r="H189" s="3">
        <v>215</v>
      </c>
      <c r="I189" s="3">
        <v>40920</v>
      </c>
      <c r="J189" s="3">
        <v>40816</v>
      </c>
      <c r="K189" s="3">
        <v>137</v>
      </c>
      <c r="L189" s="4" t="s">
        <v>59</v>
      </c>
      <c r="M189" s="4"/>
      <c r="N189" s="4"/>
      <c r="O189" s="4"/>
      <c r="P189" s="5" t="s">
        <v>23</v>
      </c>
      <c r="Q189" s="12">
        <f t="shared" si="2"/>
        <v>8.4946236559139784E-2</v>
      </c>
    </row>
    <row r="190" spans="1:17" ht="15.6" x14ac:dyDescent="0.3">
      <c r="A190" s="3" t="s">
        <v>385</v>
      </c>
      <c r="B190" s="3" t="s">
        <v>40</v>
      </c>
      <c r="C190" s="3" t="s">
        <v>227</v>
      </c>
      <c r="D190" s="3" t="s">
        <v>16</v>
      </c>
      <c r="E190" s="3" t="s">
        <v>62</v>
      </c>
      <c r="F190" s="3">
        <v>3360</v>
      </c>
      <c r="G190" s="3">
        <v>525</v>
      </c>
      <c r="H190" s="3">
        <v>500</v>
      </c>
      <c r="I190" s="3">
        <v>60480</v>
      </c>
      <c r="J190" s="3">
        <v>59610</v>
      </c>
      <c r="K190" s="3">
        <v>192</v>
      </c>
      <c r="L190" s="4" t="s">
        <v>28</v>
      </c>
      <c r="M190" s="4"/>
      <c r="N190" s="4"/>
      <c r="O190" s="4"/>
      <c r="P190" s="5" t="s">
        <v>18</v>
      </c>
      <c r="Q190" s="12">
        <f t="shared" si="2"/>
        <v>7.2503306878306875E-2</v>
      </c>
    </row>
    <row r="191" spans="1:17" ht="15.6" x14ac:dyDescent="0.3">
      <c r="A191" s="3" t="s">
        <v>386</v>
      </c>
      <c r="B191" s="3" t="s">
        <v>25</v>
      </c>
      <c r="C191" s="3" t="s">
        <v>387</v>
      </c>
      <c r="D191" s="3" t="s">
        <v>21</v>
      </c>
      <c r="E191" s="3" t="s">
        <v>100</v>
      </c>
      <c r="F191" s="3">
        <v>1963</v>
      </c>
      <c r="G191" s="3">
        <v>213</v>
      </c>
      <c r="H191" s="3">
        <v>19</v>
      </c>
      <c r="I191" s="3">
        <v>39260</v>
      </c>
      <c r="J191" s="3">
        <v>38771</v>
      </c>
      <c r="K191" s="3">
        <v>145</v>
      </c>
      <c r="L191" s="4" t="s">
        <v>59</v>
      </c>
      <c r="M191" s="4"/>
      <c r="N191" s="4"/>
      <c r="O191" s="4"/>
      <c r="P191" s="5"/>
      <c r="Q191" s="12">
        <f t="shared" si="2"/>
        <v>5.5909322465613857E-2</v>
      </c>
    </row>
    <row r="192" spans="1:17" ht="15.6" x14ac:dyDescent="0.3">
      <c r="A192" s="3" t="s">
        <v>388</v>
      </c>
      <c r="B192" s="3" t="s">
        <v>25</v>
      </c>
      <c r="C192" s="3" t="s">
        <v>353</v>
      </c>
      <c r="D192" s="3" t="s">
        <v>33</v>
      </c>
      <c r="E192" s="3" t="s">
        <v>150</v>
      </c>
      <c r="F192" s="3">
        <v>4285</v>
      </c>
      <c r="G192" s="3">
        <v>886</v>
      </c>
      <c r="H192" s="3">
        <v>376</v>
      </c>
      <c r="I192" s="3">
        <v>55705</v>
      </c>
      <c r="J192" s="3">
        <v>55556</v>
      </c>
      <c r="K192" s="3">
        <v>51</v>
      </c>
      <c r="L192" s="4" t="s">
        <v>59</v>
      </c>
      <c r="M192" s="4"/>
      <c r="N192" s="4"/>
      <c r="O192" s="4"/>
      <c r="P192" s="5" t="s">
        <v>29</v>
      </c>
      <c r="Q192" s="12">
        <f t="shared" si="2"/>
        <v>9.9578134817341346E-2</v>
      </c>
    </row>
    <row r="193" spans="1:17" ht="15.6" x14ac:dyDescent="0.3">
      <c r="A193" s="3" t="s">
        <v>389</v>
      </c>
      <c r="B193" s="3" t="s">
        <v>31</v>
      </c>
      <c r="C193" s="3" t="s">
        <v>390</v>
      </c>
      <c r="D193" s="3" t="s">
        <v>71</v>
      </c>
      <c r="E193" s="3" t="s">
        <v>82</v>
      </c>
      <c r="F193" s="3">
        <v>1176</v>
      </c>
      <c r="G193" s="3">
        <v>464</v>
      </c>
      <c r="H193" s="3">
        <v>394</v>
      </c>
      <c r="I193" s="3">
        <v>14112</v>
      </c>
      <c r="J193" s="3">
        <v>13588</v>
      </c>
      <c r="K193" s="3">
        <v>272</v>
      </c>
      <c r="L193" s="4" t="s">
        <v>35</v>
      </c>
      <c r="M193" s="4"/>
      <c r="N193" s="4"/>
      <c r="O193" s="4"/>
      <c r="P193" s="5"/>
      <c r="Q193" s="12">
        <f t="shared" si="2"/>
        <v>0.1441326530612245</v>
      </c>
    </row>
    <row r="194" spans="1:17" ht="15.6" x14ac:dyDescent="0.3">
      <c r="A194" s="3" t="s">
        <v>391</v>
      </c>
      <c r="B194" s="3" t="s">
        <v>14</v>
      </c>
      <c r="C194" s="3" t="s">
        <v>392</v>
      </c>
      <c r="D194" s="3" t="s">
        <v>49</v>
      </c>
      <c r="E194" s="3" t="s">
        <v>128</v>
      </c>
      <c r="F194" s="3">
        <v>4858</v>
      </c>
      <c r="G194" s="3">
        <v>317</v>
      </c>
      <c r="H194" s="3">
        <v>129</v>
      </c>
      <c r="I194" s="3">
        <v>53438</v>
      </c>
      <c r="J194" s="3">
        <v>52687</v>
      </c>
      <c r="K194" s="3">
        <v>223</v>
      </c>
      <c r="L194" s="4" t="s">
        <v>35</v>
      </c>
      <c r="M194" s="4"/>
      <c r="N194" s="4"/>
      <c r="O194" s="4"/>
      <c r="P194" s="5" t="s">
        <v>29</v>
      </c>
      <c r="Q194" s="12">
        <f t="shared" ref="Q194:Q257" si="3">(F194+G194+H194)/I194</f>
        <v>9.9255211647142488E-2</v>
      </c>
    </row>
    <row r="195" spans="1:17" ht="15.6" x14ac:dyDescent="0.3">
      <c r="A195" s="3" t="s">
        <v>393</v>
      </c>
      <c r="B195" s="3" t="s">
        <v>25</v>
      </c>
      <c r="C195" s="3" t="s">
        <v>267</v>
      </c>
      <c r="D195" s="3" t="s">
        <v>33</v>
      </c>
      <c r="E195" s="3" t="s">
        <v>150</v>
      </c>
      <c r="F195" s="3">
        <v>4350</v>
      </c>
      <c r="G195" s="3">
        <v>771</v>
      </c>
      <c r="H195" s="3">
        <v>7</v>
      </c>
      <c r="I195" s="3">
        <v>60900</v>
      </c>
      <c r="J195" s="3">
        <v>60592</v>
      </c>
      <c r="K195" s="3">
        <v>195</v>
      </c>
      <c r="L195" s="4" t="s">
        <v>35</v>
      </c>
      <c r="M195" s="4"/>
      <c r="N195" s="4"/>
      <c r="O195" s="4"/>
      <c r="P195" s="5" t="s">
        <v>18</v>
      </c>
      <c r="Q195" s="12">
        <f t="shared" si="3"/>
        <v>8.4203612479474554E-2</v>
      </c>
    </row>
    <row r="196" spans="1:17" ht="15.6" x14ac:dyDescent="0.3">
      <c r="A196" s="3" t="s">
        <v>394</v>
      </c>
      <c r="B196" s="3" t="s">
        <v>31</v>
      </c>
      <c r="C196" s="3" t="s">
        <v>395</v>
      </c>
      <c r="D196" s="3" t="s">
        <v>42</v>
      </c>
      <c r="E196" s="3" t="s">
        <v>85</v>
      </c>
      <c r="F196" s="3">
        <v>914</v>
      </c>
      <c r="G196" s="3">
        <v>464</v>
      </c>
      <c r="H196" s="3">
        <v>246</v>
      </c>
      <c r="I196" s="3">
        <v>11882</v>
      </c>
      <c r="J196" s="3">
        <v>11500</v>
      </c>
      <c r="K196" s="3">
        <v>282</v>
      </c>
      <c r="L196" s="4" t="s">
        <v>59</v>
      </c>
      <c r="M196" s="4" t="s">
        <v>28</v>
      </c>
      <c r="N196" s="4" t="s">
        <v>552</v>
      </c>
      <c r="O196" s="4"/>
      <c r="P196" s="5" t="s">
        <v>36</v>
      </c>
      <c r="Q196" s="12">
        <f t="shared" si="3"/>
        <v>0.13667732704931829</v>
      </c>
    </row>
    <row r="197" spans="1:17" ht="15.6" x14ac:dyDescent="0.3">
      <c r="A197" s="3" t="s">
        <v>396</v>
      </c>
      <c r="B197" s="3" t="s">
        <v>31</v>
      </c>
      <c r="C197" s="3" t="s">
        <v>397</v>
      </c>
      <c r="D197" s="3" t="s">
        <v>21</v>
      </c>
      <c r="E197" s="3" t="s">
        <v>109</v>
      </c>
      <c r="F197" s="3">
        <v>1813</v>
      </c>
      <c r="G197" s="3">
        <v>623</v>
      </c>
      <c r="H197" s="3">
        <v>72</v>
      </c>
      <c r="I197" s="3">
        <v>19943</v>
      </c>
      <c r="J197" s="3">
        <v>18959</v>
      </c>
      <c r="K197" s="3">
        <v>85</v>
      </c>
      <c r="L197" s="4" t="s">
        <v>35</v>
      </c>
      <c r="M197" s="4"/>
      <c r="N197" s="4"/>
      <c r="O197" s="4"/>
      <c r="P197" s="5" t="s">
        <v>29</v>
      </c>
      <c r="Q197" s="12">
        <f t="shared" si="3"/>
        <v>0.12575841147269717</v>
      </c>
    </row>
    <row r="198" spans="1:17" ht="15.6" x14ac:dyDescent="0.3">
      <c r="A198" s="3" t="s">
        <v>398</v>
      </c>
      <c r="B198" s="3" t="s">
        <v>14</v>
      </c>
      <c r="C198" s="3" t="s">
        <v>332</v>
      </c>
      <c r="D198" s="3" t="s">
        <v>16</v>
      </c>
      <c r="E198" s="3" t="s">
        <v>17</v>
      </c>
      <c r="F198" s="3">
        <v>4782</v>
      </c>
      <c r="G198" s="3">
        <v>721</v>
      </c>
      <c r="H198" s="3">
        <v>82</v>
      </c>
      <c r="I198" s="3">
        <v>86076</v>
      </c>
      <c r="J198" s="3">
        <v>85339</v>
      </c>
      <c r="K198" s="3">
        <v>19</v>
      </c>
      <c r="L198" s="4" t="s">
        <v>35</v>
      </c>
      <c r="M198" s="4"/>
      <c r="N198" s="4"/>
      <c r="O198" s="4"/>
      <c r="P198" s="5" t="s">
        <v>18</v>
      </c>
      <c r="Q198" s="12">
        <f t="shared" si="3"/>
        <v>6.4884520656164318E-2</v>
      </c>
    </row>
    <row r="199" spans="1:17" ht="15.6" x14ac:dyDescent="0.3">
      <c r="A199" s="3" t="s">
        <v>399</v>
      </c>
      <c r="B199" s="3" t="s">
        <v>14</v>
      </c>
      <c r="C199" s="3" t="s">
        <v>400</v>
      </c>
      <c r="D199" s="3" t="s">
        <v>49</v>
      </c>
      <c r="E199" s="3" t="s">
        <v>128</v>
      </c>
      <c r="F199" s="3">
        <v>1048</v>
      </c>
      <c r="G199" s="3">
        <v>374</v>
      </c>
      <c r="H199" s="3">
        <v>450</v>
      </c>
      <c r="I199" s="3">
        <v>9432</v>
      </c>
      <c r="J199" s="3">
        <v>8882</v>
      </c>
      <c r="K199" s="3">
        <v>158</v>
      </c>
      <c r="L199" s="4" t="s">
        <v>28</v>
      </c>
      <c r="M199" s="4"/>
      <c r="N199" s="4"/>
      <c r="O199" s="4"/>
      <c r="P199" s="5" t="s">
        <v>29</v>
      </c>
      <c r="Q199" s="12">
        <f t="shared" si="3"/>
        <v>0.19847328244274809</v>
      </c>
    </row>
    <row r="200" spans="1:17" ht="15.6" x14ac:dyDescent="0.3">
      <c r="A200" s="3" t="s">
        <v>401</v>
      </c>
      <c r="B200" s="3" t="s">
        <v>25</v>
      </c>
      <c r="C200" s="3" t="s">
        <v>117</v>
      </c>
      <c r="D200" s="3" t="s">
        <v>42</v>
      </c>
      <c r="E200" s="3" t="s">
        <v>65</v>
      </c>
      <c r="F200" s="3">
        <v>2509</v>
      </c>
      <c r="G200" s="3">
        <v>324</v>
      </c>
      <c r="H200" s="3">
        <v>171</v>
      </c>
      <c r="I200" s="3">
        <v>35126</v>
      </c>
      <c r="J200" s="3">
        <v>34685</v>
      </c>
      <c r="K200" s="3">
        <v>277</v>
      </c>
      <c r="L200" s="4" t="s">
        <v>28</v>
      </c>
      <c r="M200" s="4"/>
      <c r="N200" s="4"/>
      <c r="O200" s="4"/>
      <c r="P200" s="5" t="s">
        <v>23</v>
      </c>
      <c r="Q200" s="12">
        <f t="shared" si="3"/>
        <v>8.5520696919660646E-2</v>
      </c>
    </row>
    <row r="201" spans="1:17" ht="15.6" x14ac:dyDescent="0.3">
      <c r="A201" s="3" t="s">
        <v>402</v>
      </c>
      <c r="B201" s="3" t="s">
        <v>40</v>
      </c>
      <c r="C201" s="3" t="s">
        <v>403</v>
      </c>
      <c r="D201" s="3" t="s">
        <v>16</v>
      </c>
      <c r="E201" s="3" t="s">
        <v>62</v>
      </c>
      <c r="F201" s="3">
        <v>3718</v>
      </c>
      <c r="G201" s="3">
        <v>385</v>
      </c>
      <c r="H201" s="3">
        <v>310</v>
      </c>
      <c r="I201" s="3">
        <v>70642</v>
      </c>
      <c r="J201" s="3">
        <v>69749</v>
      </c>
      <c r="K201" s="3">
        <v>233</v>
      </c>
      <c r="L201" s="4" t="s">
        <v>28</v>
      </c>
      <c r="M201" s="4"/>
      <c r="N201" s="4"/>
      <c r="O201" s="4"/>
      <c r="P201" s="5" t="s">
        <v>23</v>
      </c>
      <c r="Q201" s="12">
        <f t="shared" si="3"/>
        <v>6.246991874522239E-2</v>
      </c>
    </row>
    <row r="202" spans="1:17" ht="15.6" x14ac:dyDescent="0.3">
      <c r="A202" s="3" t="s">
        <v>404</v>
      </c>
      <c r="B202" s="3" t="s">
        <v>14</v>
      </c>
      <c r="C202" s="3" t="s">
        <v>405</v>
      </c>
      <c r="D202" s="3" t="s">
        <v>16</v>
      </c>
      <c r="E202" s="3" t="s">
        <v>17</v>
      </c>
      <c r="F202" s="3">
        <v>802</v>
      </c>
      <c r="G202" s="3">
        <v>262</v>
      </c>
      <c r="H202" s="3">
        <v>244</v>
      </c>
      <c r="I202" s="3">
        <v>14436</v>
      </c>
      <c r="J202" s="3">
        <v>14280</v>
      </c>
      <c r="K202" s="3">
        <v>49</v>
      </c>
      <c r="L202" s="4" t="s">
        <v>35</v>
      </c>
      <c r="M202" s="4"/>
      <c r="N202" s="4"/>
      <c r="O202" s="4"/>
      <c r="P202" s="5" t="s">
        <v>18</v>
      </c>
      <c r="Q202" s="12">
        <f t="shared" si="3"/>
        <v>9.0606816292601824E-2</v>
      </c>
    </row>
    <row r="203" spans="1:17" ht="15.6" x14ac:dyDescent="0.3">
      <c r="A203" s="3" t="s">
        <v>406</v>
      </c>
      <c r="B203" s="3" t="s">
        <v>40</v>
      </c>
      <c r="C203" s="3" t="s">
        <v>407</v>
      </c>
      <c r="D203" s="3" t="s">
        <v>49</v>
      </c>
      <c r="E203" s="3" t="s">
        <v>56</v>
      </c>
      <c r="F203" s="3">
        <v>1871</v>
      </c>
      <c r="G203" s="3">
        <v>252</v>
      </c>
      <c r="H203" s="3">
        <v>335</v>
      </c>
      <c r="I203" s="3">
        <v>29936</v>
      </c>
      <c r="J203" s="3">
        <v>29576</v>
      </c>
      <c r="K203" s="3">
        <v>288</v>
      </c>
      <c r="L203" s="4" t="s">
        <v>35</v>
      </c>
      <c r="M203" s="4"/>
      <c r="N203" s="4"/>
      <c r="O203" s="4"/>
      <c r="P203" s="5" t="s">
        <v>29</v>
      </c>
      <c r="Q203" s="12">
        <f t="shared" si="3"/>
        <v>8.2108498129342594E-2</v>
      </c>
    </row>
    <row r="204" spans="1:17" ht="15.6" x14ac:dyDescent="0.3">
      <c r="A204" s="3" t="s">
        <v>408</v>
      </c>
      <c r="B204" s="3" t="s">
        <v>31</v>
      </c>
      <c r="C204" s="3" t="s">
        <v>409</v>
      </c>
      <c r="D204" s="3" t="s">
        <v>42</v>
      </c>
      <c r="E204" s="3" t="s">
        <v>85</v>
      </c>
      <c r="F204" s="3">
        <v>3773</v>
      </c>
      <c r="G204" s="3">
        <v>299</v>
      </c>
      <c r="H204" s="3">
        <v>38</v>
      </c>
      <c r="I204" s="3">
        <v>71687</v>
      </c>
      <c r="J204" s="3">
        <v>71447</v>
      </c>
      <c r="K204" s="3">
        <v>286</v>
      </c>
      <c r="L204" s="4" t="s">
        <v>59</v>
      </c>
      <c r="M204" s="4"/>
      <c r="N204" s="4"/>
      <c r="O204" s="4"/>
      <c r="P204" s="5" t="s">
        <v>18</v>
      </c>
      <c r="Q204" s="12">
        <f t="shared" si="3"/>
        <v>5.7332570758993957E-2</v>
      </c>
    </row>
    <row r="205" spans="1:17" ht="15.6" x14ac:dyDescent="0.3">
      <c r="A205" s="3" t="s">
        <v>410</v>
      </c>
      <c r="B205" s="3" t="s">
        <v>31</v>
      </c>
      <c r="C205" s="3" t="s">
        <v>327</v>
      </c>
      <c r="D205" s="3" t="s">
        <v>42</v>
      </c>
      <c r="E205" s="3" t="s">
        <v>85</v>
      </c>
      <c r="F205" s="3">
        <v>2234</v>
      </c>
      <c r="G205" s="3">
        <v>653</v>
      </c>
      <c r="H205" s="3">
        <v>432</v>
      </c>
      <c r="I205" s="3">
        <v>11170</v>
      </c>
      <c r="J205" s="3">
        <v>10569</v>
      </c>
      <c r="K205" s="3">
        <v>198</v>
      </c>
      <c r="L205" s="4" t="s">
        <v>59</v>
      </c>
      <c r="M205" s="4"/>
      <c r="N205" s="4"/>
      <c r="O205" s="4"/>
      <c r="P205" s="5" t="s">
        <v>29</v>
      </c>
      <c r="Q205" s="12">
        <f t="shared" si="3"/>
        <v>0.29713518352730528</v>
      </c>
    </row>
    <row r="206" spans="1:17" ht="15.6" x14ac:dyDescent="0.3">
      <c r="A206" s="3" t="s">
        <v>411</v>
      </c>
      <c r="B206" s="3" t="s">
        <v>14</v>
      </c>
      <c r="C206" s="3" t="s">
        <v>298</v>
      </c>
      <c r="D206" s="3" t="s">
        <v>71</v>
      </c>
      <c r="E206" s="3" t="s">
        <v>141</v>
      </c>
      <c r="F206" s="3">
        <v>3820</v>
      </c>
      <c r="G206" s="3">
        <v>697</v>
      </c>
      <c r="H206" s="3">
        <v>268</v>
      </c>
      <c r="I206" s="3">
        <v>45840</v>
      </c>
      <c r="J206" s="3">
        <v>45631</v>
      </c>
      <c r="K206" s="3">
        <v>171</v>
      </c>
      <c r="L206" s="4" t="s">
        <v>28</v>
      </c>
      <c r="M206" s="4" t="s">
        <v>554</v>
      </c>
      <c r="N206" s="4"/>
      <c r="O206" s="4"/>
      <c r="P206" s="5" t="s">
        <v>36</v>
      </c>
      <c r="Q206" s="12">
        <f t="shared" si="3"/>
        <v>0.1043848167539267</v>
      </c>
    </row>
    <row r="207" spans="1:17" ht="15.6" x14ac:dyDescent="0.3">
      <c r="A207" s="3" t="s">
        <v>412</v>
      </c>
      <c r="B207" s="3" t="s">
        <v>14</v>
      </c>
      <c r="C207" s="3" t="s">
        <v>45</v>
      </c>
      <c r="D207" s="3" t="s">
        <v>21</v>
      </c>
      <c r="E207" s="3" t="s">
        <v>22</v>
      </c>
      <c r="F207" s="3">
        <v>941</v>
      </c>
      <c r="G207" s="3">
        <v>121</v>
      </c>
      <c r="H207" s="3">
        <v>458</v>
      </c>
      <c r="I207" s="3">
        <v>14115</v>
      </c>
      <c r="J207" s="3">
        <v>13838</v>
      </c>
      <c r="K207" s="3">
        <v>87</v>
      </c>
      <c r="L207" s="4" t="s">
        <v>35</v>
      </c>
      <c r="M207" s="4"/>
      <c r="N207" s="4"/>
      <c r="O207" s="4"/>
      <c r="P207" s="5" t="s">
        <v>18</v>
      </c>
      <c r="Q207" s="12">
        <f t="shared" si="3"/>
        <v>0.10768685795253277</v>
      </c>
    </row>
    <row r="208" spans="1:17" ht="15.6" x14ac:dyDescent="0.3">
      <c r="A208" s="3" t="s">
        <v>413</v>
      </c>
      <c r="B208" s="3" t="s">
        <v>14</v>
      </c>
      <c r="C208" s="3" t="s">
        <v>414</v>
      </c>
      <c r="D208" s="3" t="s">
        <v>42</v>
      </c>
      <c r="E208" s="3" t="s">
        <v>46</v>
      </c>
      <c r="F208" s="3">
        <v>4274</v>
      </c>
      <c r="G208" s="3">
        <v>340</v>
      </c>
      <c r="H208" s="3">
        <v>281</v>
      </c>
      <c r="I208" s="3">
        <v>34192</v>
      </c>
      <c r="J208" s="3">
        <v>33446</v>
      </c>
      <c r="K208" s="3">
        <v>129</v>
      </c>
      <c r="L208" s="4" t="s">
        <v>28</v>
      </c>
      <c r="M208" s="4" t="s">
        <v>554</v>
      </c>
      <c r="N208" s="4"/>
      <c r="O208" s="4"/>
      <c r="P208" s="5" t="s">
        <v>29</v>
      </c>
      <c r="Q208" s="12">
        <f t="shared" si="3"/>
        <v>0.14316214319138981</v>
      </c>
    </row>
    <row r="209" spans="1:17" ht="15.6" x14ac:dyDescent="0.3">
      <c r="A209" s="3" t="s">
        <v>415</v>
      </c>
      <c r="B209" s="3" t="s">
        <v>25</v>
      </c>
      <c r="C209" s="3" t="s">
        <v>45</v>
      </c>
      <c r="D209" s="3" t="s">
        <v>71</v>
      </c>
      <c r="E209" s="3" t="s">
        <v>212</v>
      </c>
      <c r="F209" s="3">
        <v>2949</v>
      </c>
      <c r="G209" s="3">
        <v>476</v>
      </c>
      <c r="H209" s="3">
        <v>403</v>
      </c>
      <c r="I209" s="3">
        <v>44235</v>
      </c>
      <c r="J209" s="3">
        <v>43705</v>
      </c>
      <c r="K209" s="3">
        <v>135</v>
      </c>
      <c r="L209" s="4" t="s">
        <v>28</v>
      </c>
      <c r="M209" s="4"/>
      <c r="N209" s="4"/>
      <c r="O209" s="4"/>
      <c r="P209" s="5" t="s">
        <v>23</v>
      </c>
      <c r="Q209" s="12">
        <f t="shared" si="3"/>
        <v>8.6537809426924378E-2</v>
      </c>
    </row>
    <row r="210" spans="1:17" ht="15.6" x14ac:dyDescent="0.3">
      <c r="A210" s="3" t="s">
        <v>416</v>
      </c>
      <c r="B210" s="3" t="s">
        <v>14</v>
      </c>
      <c r="C210" s="3" t="s">
        <v>417</v>
      </c>
      <c r="D210" s="3" t="s">
        <v>71</v>
      </c>
      <c r="E210" s="3" t="s">
        <v>141</v>
      </c>
      <c r="F210" s="3">
        <v>3160</v>
      </c>
      <c r="G210" s="3">
        <v>204</v>
      </c>
      <c r="H210" s="3">
        <v>297</v>
      </c>
      <c r="I210" s="3">
        <v>44240</v>
      </c>
      <c r="J210" s="3">
        <v>43666</v>
      </c>
      <c r="K210" s="3">
        <v>49</v>
      </c>
      <c r="L210" s="4" t="s">
        <v>59</v>
      </c>
      <c r="M210" s="4" t="s">
        <v>552</v>
      </c>
      <c r="N210" s="4"/>
      <c r="O210" s="4"/>
      <c r="P210" s="5" t="s">
        <v>36</v>
      </c>
      <c r="Q210" s="12">
        <f t="shared" si="3"/>
        <v>8.2753164556962022E-2</v>
      </c>
    </row>
    <row r="211" spans="1:17" ht="15.6" x14ac:dyDescent="0.3">
      <c r="A211" s="3" t="s">
        <v>418</v>
      </c>
      <c r="B211" s="3" t="s">
        <v>25</v>
      </c>
      <c r="C211" s="3" t="s">
        <v>341</v>
      </c>
      <c r="D211" s="3" t="s">
        <v>49</v>
      </c>
      <c r="E211" s="3" t="s">
        <v>50</v>
      </c>
      <c r="F211" s="3">
        <v>257</v>
      </c>
      <c r="G211" s="3">
        <v>966</v>
      </c>
      <c r="H211" s="3">
        <v>398</v>
      </c>
      <c r="I211" s="3">
        <v>3341</v>
      </c>
      <c r="J211" s="3">
        <v>2753</v>
      </c>
      <c r="K211" s="3">
        <v>287</v>
      </c>
      <c r="L211" s="4" t="s">
        <v>59</v>
      </c>
      <c r="M211" s="4"/>
      <c r="N211" s="4"/>
      <c r="O211" s="4"/>
      <c r="P211" s="5" t="s">
        <v>18</v>
      </c>
      <c r="Q211" s="12">
        <f t="shared" si="3"/>
        <v>0.48518407662376534</v>
      </c>
    </row>
    <row r="212" spans="1:17" ht="15.6" x14ac:dyDescent="0.3">
      <c r="A212" s="3" t="s">
        <v>419</v>
      </c>
      <c r="B212" s="3" t="s">
        <v>14</v>
      </c>
      <c r="C212" s="3" t="s">
        <v>420</v>
      </c>
      <c r="D212" s="3" t="s">
        <v>42</v>
      </c>
      <c r="E212" s="3" t="s">
        <v>46</v>
      </c>
      <c r="F212" s="3">
        <v>2120</v>
      </c>
      <c r="G212" s="3">
        <v>38</v>
      </c>
      <c r="H212" s="3">
        <v>212</v>
      </c>
      <c r="I212" s="3">
        <v>12720</v>
      </c>
      <c r="J212" s="3">
        <v>12564</v>
      </c>
      <c r="K212" s="3">
        <v>21</v>
      </c>
      <c r="L212" s="4" t="s">
        <v>59</v>
      </c>
      <c r="M212" s="4"/>
      <c r="N212" s="4"/>
      <c r="O212" s="4"/>
      <c r="P212" s="5" t="s">
        <v>36</v>
      </c>
      <c r="Q212" s="12">
        <f t="shared" si="3"/>
        <v>0.18632075471698112</v>
      </c>
    </row>
    <row r="213" spans="1:17" ht="15.6" x14ac:dyDescent="0.3">
      <c r="A213" s="3" t="s">
        <v>421</v>
      </c>
      <c r="B213" s="3" t="s">
        <v>25</v>
      </c>
      <c r="C213" s="3" t="s">
        <v>191</v>
      </c>
      <c r="D213" s="3" t="s">
        <v>71</v>
      </c>
      <c r="E213" s="3" t="s">
        <v>212</v>
      </c>
      <c r="F213" s="3">
        <v>3874</v>
      </c>
      <c r="G213" s="3">
        <v>884</v>
      </c>
      <c r="H213" s="3">
        <v>19</v>
      </c>
      <c r="I213" s="3">
        <v>38740</v>
      </c>
      <c r="J213" s="3">
        <v>38552</v>
      </c>
      <c r="K213" s="3">
        <v>219</v>
      </c>
      <c r="L213" s="4" t="s">
        <v>28</v>
      </c>
      <c r="M213" s="4"/>
      <c r="N213" s="4"/>
      <c r="O213" s="4"/>
      <c r="P213" s="5" t="s">
        <v>23</v>
      </c>
      <c r="Q213" s="12">
        <f t="shared" si="3"/>
        <v>0.123309241094476</v>
      </c>
    </row>
    <row r="214" spans="1:17" ht="15.6" x14ac:dyDescent="0.3">
      <c r="A214" s="3" t="s">
        <v>422</v>
      </c>
      <c r="B214" s="3" t="s">
        <v>40</v>
      </c>
      <c r="C214" s="3" t="s">
        <v>423</v>
      </c>
      <c r="D214" s="3" t="s">
        <v>42</v>
      </c>
      <c r="E214" s="3" t="s">
        <v>43</v>
      </c>
      <c r="F214" s="3">
        <v>2696</v>
      </c>
      <c r="G214" s="3">
        <v>628</v>
      </c>
      <c r="H214" s="3">
        <v>443</v>
      </c>
      <c r="I214" s="3">
        <v>45832</v>
      </c>
      <c r="J214" s="3">
        <v>45632</v>
      </c>
      <c r="K214" s="3">
        <v>248</v>
      </c>
      <c r="L214" s="4" t="s">
        <v>35</v>
      </c>
      <c r="M214" s="4"/>
      <c r="N214" s="4"/>
      <c r="O214" s="4"/>
      <c r="P214" s="5" t="s">
        <v>36</v>
      </c>
      <c r="Q214" s="12">
        <f t="shared" si="3"/>
        <v>8.21914819340199E-2</v>
      </c>
    </row>
    <row r="215" spans="1:17" ht="15.6" x14ac:dyDescent="0.3">
      <c r="A215" s="3" t="s">
        <v>424</v>
      </c>
      <c r="B215" s="3" t="s">
        <v>31</v>
      </c>
      <c r="C215" s="3" t="s">
        <v>15</v>
      </c>
      <c r="D215" s="3" t="s">
        <v>49</v>
      </c>
      <c r="E215" s="3" t="s">
        <v>209</v>
      </c>
      <c r="F215" s="3">
        <v>521</v>
      </c>
      <c r="G215" s="3">
        <v>746</v>
      </c>
      <c r="H215" s="3">
        <v>315</v>
      </c>
      <c r="I215" s="3">
        <v>4168</v>
      </c>
      <c r="J215" s="3">
        <v>3399</v>
      </c>
      <c r="K215" s="3">
        <v>282</v>
      </c>
      <c r="L215" s="4" t="s">
        <v>59</v>
      </c>
      <c r="M215" s="4"/>
      <c r="N215" s="4"/>
      <c r="O215" s="4"/>
      <c r="P215" s="5" t="s">
        <v>23</v>
      </c>
      <c r="Q215" s="12">
        <f t="shared" si="3"/>
        <v>0.37955854126679461</v>
      </c>
    </row>
    <row r="216" spans="1:17" ht="15.6" x14ac:dyDescent="0.3">
      <c r="A216" s="3" t="s">
        <v>425</v>
      </c>
      <c r="B216" s="3" t="s">
        <v>40</v>
      </c>
      <c r="C216" s="3" t="s">
        <v>426</v>
      </c>
      <c r="D216" s="3" t="s">
        <v>49</v>
      </c>
      <c r="E216" s="3" t="s">
        <v>56</v>
      </c>
      <c r="F216" s="3">
        <v>4872</v>
      </c>
      <c r="G216" s="3">
        <v>925</v>
      </c>
      <c r="H216" s="3">
        <v>176</v>
      </c>
      <c r="I216" s="3">
        <v>82824</v>
      </c>
      <c r="J216" s="3">
        <v>82543</v>
      </c>
      <c r="K216" s="3">
        <v>89</v>
      </c>
      <c r="L216" s="4" t="s">
        <v>35</v>
      </c>
      <c r="M216" s="4"/>
      <c r="N216" s="4"/>
      <c r="O216" s="4"/>
      <c r="P216" s="5" t="s">
        <v>23</v>
      </c>
      <c r="Q216" s="12">
        <f t="shared" si="3"/>
        <v>7.2116777745580993E-2</v>
      </c>
    </row>
    <row r="217" spans="1:17" ht="15.6" x14ac:dyDescent="0.3">
      <c r="A217" s="3" t="s">
        <v>427</v>
      </c>
      <c r="B217" s="3" t="s">
        <v>25</v>
      </c>
      <c r="C217" s="3" t="s">
        <v>261</v>
      </c>
      <c r="D217" s="3" t="s">
        <v>33</v>
      </c>
      <c r="E217" s="3" t="s">
        <v>150</v>
      </c>
      <c r="F217" s="3">
        <v>1509</v>
      </c>
      <c r="G217" s="3">
        <v>88</v>
      </c>
      <c r="H217" s="3">
        <v>163</v>
      </c>
      <c r="I217" s="3">
        <v>30180</v>
      </c>
      <c r="J217" s="3">
        <v>29689</v>
      </c>
      <c r="K217" s="3">
        <v>119</v>
      </c>
      <c r="L217" s="4" t="s">
        <v>35</v>
      </c>
      <c r="M217" s="4"/>
      <c r="N217" s="4"/>
      <c r="O217" s="4"/>
      <c r="P217" s="5" t="s">
        <v>23</v>
      </c>
      <c r="Q217" s="12">
        <f t="shared" si="3"/>
        <v>5.8316766070245198E-2</v>
      </c>
    </row>
    <row r="218" spans="1:17" ht="15.6" x14ac:dyDescent="0.3">
      <c r="A218" s="3" t="s">
        <v>428</v>
      </c>
      <c r="B218" s="3" t="s">
        <v>40</v>
      </c>
      <c r="C218" s="3" t="s">
        <v>353</v>
      </c>
      <c r="D218" s="3" t="s">
        <v>49</v>
      </c>
      <c r="E218" s="3" t="s">
        <v>56</v>
      </c>
      <c r="F218" s="3">
        <v>4606</v>
      </c>
      <c r="G218" s="3">
        <v>931</v>
      </c>
      <c r="H218" s="3">
        <v>230</v>
      </c>
      <c r="I218" s="3">
        <v>92120</v>
      </c>
      <c r="J218" s="3">
        <v>91440</v>
      </c>
      <c r="K218" s="3">
        <v>56</v>
      </c>
      <c r="L218" s="4" t="s">
        <v>28</v>
      </c>
      <c r="M218" s="4"/>
      <c r="N218" s="4"/>
      <c r="O218" s="4"/>
      <c r="P218" s="5"/>
      <c r="Q218" s="12">
        <f t="shared" si="3"/>
        <v>6.2603126356925748E-2</v>
      </c>
    </row>
    <row r="219" spans="1:17" ht="15.6" x14ac:dyDescent="0.3">
      <c r="A219" s="3" t="s">
        <v>429</v>
      </c>
      <c r="B219" s="3" t="s">
        <v>40</v>
      </c>
      <c r="C219" s="3" t="s">
        <v>247</v>
      </c>
      <c r="D219" s="3" t="s">
        <v>42</v>
      </c>
      <c r="E219" s="3" t="s">
        <v>43</v>
      </c>
      <c r="F219" s="3">
        <v>1869</v>
      </c>
      <c r="G219" s="3">
        <v>453</v>
      </c>
      <c r="H219" s="3">
        <v>490</v>
      </c>
      <c r="I219" s="3">
        <v>14952</v>
      </c>
      <c r="J219" s="3">
        <v>14309</v>
      </c>
      <c r="K219" s="3">
        <v>275</v>
      </c>
      <c r="L219" s="4" t="s">
        <v>28</v>
      </c>
      <c r="M219" s="4"/>
      <c r="N219" s="4"/>
      <c r="O219" s="4"/>
      <c r="P219" s="5" t="s">
        <v>36</v>
      </c>
      <c r="Q219" s="12">
        <f t="shared" si="3"/>
        <v>0.18806848582129482</v>
      </c>
    </row>
    <row r="220" spans="1:17" ht="15.6" x14ac:dyDescent="0.3">
      <c r="A220" s="3" t="s">
        <v>430</v>
      </c>
      <c r="B220" s="3" t="s">
        <v>14</v>
      </c>
      <c r="C220" s="3" t="s">
        <v>169</v>
      </c>
      <c r="D220" s="3" t="s">
        <v>16</v>
      </c>
      <c r="E220" s="3" t="s">
        <v>17</v>
      </c>
      <c r="F220" s="3">
        <v>1188</v>
      </c>
      <c r="G220" s="3">
        <v>470</v>
      </c>
      <c r="H220" s="3">
        <v>174</v>
      </c>
      <c r="I220" s="3">
        <v>7128</v>
      </c>
      <c r="J220" s="3">
        <v>6145</v>
      </c>
      <c r="K220" s="3">
        <v>270</v>
      </c>
      <c r="L220" s="4" t="s">
        <v>28</v>
      </c>
      <c r="M220" s="4"/>
      <c r="N220" s="4"/>
      <c r="O220" s="4"/>
      <c r="P220" s="5" t="s">
        <v>36</v>
      </c>
      <c r="Q220" s="12">
        <f t="shared" si="3"/>
        <v>0.25701459034792368</v>
      </c>
    </row>
    <row r="221" spans="1:17" ht="15.6" x14ac:dyDescent="0.3">
      <c r="A221" s="3" t="s">
        <v>431</v>
      </c>
      <c r="B221" s="3" t="s">
        <v>31</v>
      </c>
      <c r="C221" s="3" t="s">
        <v>407</v>
      </c>
      <c r="D221" s="3" t="s">
        <v>33</v>
      </c>
      <c r="E221" s="3" t="s">
        <v>34</v>
      </c>
      <c r="F221" s="3">
        <v>84</v>
      </c>
      <c r="G221" s="3">
        <v>897</v>
      </c>
      <c r="H221" s="3">
        <v>85</v>
      </c>
      <c r="I221" s="3">
        <v>588</v>
      </c>
      <c r="J221" s="3">
        <v>8</v>
      </c>
      <c r="K221" s="3">
        <v>12</v>
      </c>
      <c r="L221" s="4" t="s">
        <v>35</v>
      </c>
      <c r="M221" s="4"/>
      <c r="N221" s="4"/>
      <c r="O221" s="4"/>
      <c r="P221" s="5"/>
      <c r="Q221" s="12">
        <f t="shared" si="3"/>
        <v>1.8129251700680271</v>
      </c>
    </row>
    <row r="222" spans="1:17" ht="15.6" x14ac:dyDescent="0.3">
      <c r="A222" s="3" t="s">
        <v>432</v>
      </c>
      <c r="B222" s="3" t="s">
        <v>40</v>
      </c>
      <c r="C222" s="3" t="s">
        <v>249</v>
      </c>
      <c r="D222" s="3" t="s">
        <v>71</v>
      </c>
      <c r="E222" s="3" t="s">
        <v>72</v>
      </c>
      <c r="F222" s="3">
        <v>4453</v>
      </c>
      <c r="G222" s="3">
        <v>111</v>
      </c>
      <c r="H222" s="3">
        <v>420</v>
      </c>
      <c r="I222" s="3">
        <v>31171</v>
      </c>
      <c r="J222" s="3">
        <v>30565</v>
      </c>
      <c r="K222" s="3">
        <v>23</v>
      </c>
      <c r="L222" s="4" t="s">
        <v>28</v>
      </c>
      <c r="M222" s="4"/>
      <c r="N222" s="4"/>
      <c r="O222" s="4"/>
      <c r="P222" s="5"/>
      <c r="Q222" s="12">
        <f t="shared" si="3"/>
        <v>0.15989220750056141</v>
      </c>
    </row>
    <row r="223" spans="1:17" ht="15.6" x14ac:dyDescent="0.3">
      <c r="A223" s="3" t="s">
        <v>433</v>
      </c>
      <c r="B223" s="3" t="s">
        <v>40</v>
      </c>
      <c r="C223" s="3" t="s">
        <v>434</v>
      </c>
      <c r="D223" s="3" t="s">
        <v>16</v>
      </c>
      <c r="E223" s="3" t="s">
        <v>62</v>
      </c>
      <c r="F223" s="3">
        <v>1814</v>
      </c>
      <c r="G223" s="3">
        <v>653</v>
      </c>
      <c r="H223" s="3">
        <v>363</v>
      </c>
      <c r="I223" s="3">
        <v>25396</v>
      </c>
      <c r="J223" s="3">
        <v>25286</v>
      </c>
      <c r="K223" s="3">
        <v>39</v>
      </c>
      <c r="L223" s="4" t="s">
        <v>59</v>
      </c>
      <c r="M223" s="4" t="s">
        <v>554</v>
      </c>
      <c r="N223" s="4"/>
      <c r="O223" s="4"/>
      <c r="P223" s="5" t="s">
        <v>18</v>
      </c>
      <c r="Q223" s="12">
        <f t="shared" si="3"/>
        <v>0.11143487163332809</v>
      </c>
    </row>
    <row r="224" spans="1:17" ht="15.6" x14ac:dyDescent="0.3">
      <c r="A224" s="3" t="s">
        <v>435</v>
      </c>
      <c r="B224" s="3" t="s">
        <v>14</v>
      </c>
      <c r="C224" s="3" t="s">
        <v>351</v>
      </c>
      <c r="D224" s="3" t="s">
        <v>49</v>
      </c>
      <c r="E224" s="3" t="s">
        <v>128</v>
      </c>
      <c r="F224" s="3">
        <v>3338</v>
      </c>
      <c r="G224" s="3">
        <v>277</v>
      </c>
      <c r="H224" s="3">
        <v>118</v>
      </c>
      <c r="I224" s="3">
        <v>60084</v>
      </c>
      <c r="J224" s="3">
        <v>59842</v>
      </c>
      <c r="K224" s="3">
        <v>252</v>
      </c>
      <c r="L224" s="4" t="s">
        <v>28</v>
      </c>
      <c r="M224" s="4"/>
      <c r="N224" s="4"/>
      <c r="O224" s="4"/>
      <c r="P224" s="5"/>
      <c r="Q224" s="12">
        <f t="shared" si="3"/>
        <v>6.2129685107516146E-2</v>
      </c>
    </row>
    <row r="225" spans="1:17" ht="15.6" x14ac:dyDescent="0.3">
      <c r="A225" s="3" t="s">
        <v>436</v>
      </c>
      <c r="B225" s="3" t="s">
        <v>40</v>
      </c>
      <c r="C225" s="3" t="s">
        <v>437</v>
      </c>
      <c r="D225" s="3" t="s">
        <v>49</v>
      </c>
      <c r="E225" s="3" t="s">
        <v>56</v>
      </c>
      <c r="F225" s="3">
        <v>602</v>
      </c>
      <c r="G225" s="3">
        <v>594</v>
      </c>
      <c r="H225" s="3">
        <v>156</v>
      </c>
      <c r="I225" s="3">
        <v>4214</v>
      </c>
      <c r="J225" s="3">
        <v>3363</v>
      </c>
      <c r="K225" s="3">
        <v>164</v>
      </c>
      <c r="L225" s="4" t="s">
        <v>28</v>
      </c>
      <c r="M225" s="4"/>
      <c r="N225" s="4"/>
      <c r="O225" s="4"/>
      <c r="P225" s="5" t="s">
        <v>29</v>
      </c>
      <c r="Q225" s="12">
        <f t="shared" si="3"/>
        <v>0.32083531086853345</v>
      </c>
    </row>
    <row r="226" spans="1:17" ht="15.6" x14ac:dyDescent="0.3">
      <c r="A226" s="3" t="s">
        <v>438</v>
      </c>
      <c r="B226" s="3" t="s">
        <v>14</v>
      </c>
      <c r="C226" s="3" t="s">
        <v>366</v>
      </c>
      <c r="D226" s="3" t="s">
        <v>42</v>
      </c>
      <c r="E226" s="3" t="s">
        <v>46</v>
      </c>
      <c r="F226" s="3">
        <v>4672</v>
      </c>
      <c r="G226" s="3">
        <v>325</v>
      </c>
      <c r="H226" s="3">
        <v>32</v>
      </c>
      <c r="I226" s="3">
        <v>88768</v>
      </c>
      <c r="J226" s="3">
        <v>87833</v>
      </c>
      <c r="K226" s="3">
        <v>118</v>
      </c>
      <c r="L226" s="4" t="s">
        <v>35</v>
      </c>
      <c r="M226" s="4"/>
      <c r="N226" s="4"/>
      <c r="O226" s="4"/>
      <c r="P226" s="5"/>
      <c r="Q226" s="12">
        <f t="shared" si="3"/>
        <v>5.6653298485940883E-2</v>
      </c>
    </row>
    <row r="227" spans="1:17" ht="15.6" x14ac:dyDescent="0.3">
      <c r="A227" s="3" t="s">
        <v>439</v>
      </c>
      <c r="B227" s="3" t="s">
        <v>31</v>
      </c>
      <c r="C227" s="3" t="s">
        <v>440</v>
      </c>
      <c r="D227" s="3" t="s">
        <v>42</v>
      </c>
      <c r="E227" s="3" t="s">
        <v>85</v>
      </c>
      <c r="F227" s="3">
        <v>1741</v>
      </c>
      <c r="G227" s="3">
        <v>164</v>
      </c>
      <c r="H227" s="3">
        <v>318</v>
      </c>
      <c r="I227" s="3">
        <v>8705</v>
      </c>
      <c r="J227" s="3">
        <v>8272</v>
      </c>
      <c r="K227" s="3">
        <v>121</v>
      </c>
      <c r="L227" s="4" t="s">
        <v>28</v>
      </c>
      <c r="M227" s="4"/>
      <c r="N227" s="4"/>
      <c r="O227" s="4"/>
      <c r="P227" s="5"/>
      <c r="Q227" s="12">
        <f t="shared" si="3"/>
        <v>0.25537047673750718</v>
      </c>
    </row>
    <row r="228" spans="1:17" ht="15.6" x14ac:dyDescent="0.3">
      <c r="A228" s="3" t="s">
        <v>441</v>
      </c>
      <c r="B228" s="3" t="s">
        <v>31</v>
      </c>
      <c r="C228" s="3" t="s">
        <v>442</v>
      </c>
      <c r="D228" s="3" t="s">
        <v>21</v>
      </c>
      <c r="E228" s="3" t="s">
        <v>109</v>
      </c>
      <c r="F228" s="3">
        <v>246</v>
      </c>
      <c r="G228" s="3">
        <v>149</v>
      </c>
      <c r="H228" s="3">
        <v>130</v>
      </c>
      <c r="I228" s="3">
        <v>4674</v>
      </c>
      <c r="J228" s="3">
        <v>4390</v>
      </c>
      <c r="K228" s="3">
        <v>217</v>
      </c>
      <c r="L228" s="4" t="s">
        <v>59</v>
      </c>
      <c r="M228" s="4"/>
      <c r="N228" s="4"/>
      <c r="O228" s="4"/>
      <c r="P228" s="5" t="s">
        <v>29</v>
      </c>
      <c r="Q228" s="12">
        <f t="shared" si="3"/>
        <v>0.11232349165596919</v>
      </c>
    </row>
    <row r="229" spans="1:17" ht="15.6" x14ac:dyDescent="0.3">
      <c r="A229" s="3" t="s">
        <v>443</v>
      </c>
      <c r="B229" s="3" t="s">
        <v>31</v>
      </c>
      <c r="C229" s="3" t="s">
        <v>444</v>
      </c>
      <c r="D229" s="3" t="s">
        <v>33</v>
      </c>
      <c r="E229" s="3" t="s">
        <v>34</v>
      </c>
      <c r="F229" s="3">
        <v>4808</v>
      </c>
      <c r="G229" s="3">
        <v>772</v>
      </c>
      <c r="H229" s="3">
        <v>320</v>
      </c>
      <c r="I229" s="3">
        <v>72120</v>
      </c>
      <c r="J229" s="3">
        <v>71696</v>
      </c>
      <c r="K229" s="3">
        <v>195</v>
      </c>
      <c r="L229" s="4" t="s">
        <v>35</v>
      </c>
      <c r="M229" s="4"/>
      <c r="N229" s="4"/>
      <c r="O229" s="4"/>
      <c r="P229" s="5" t="s">
        <v>18</v>
      </c>
      <c r="Q229" s="12">
        <f t="shared" si="3"/>
        <v>8.1808097615085965E-2</v>
      </c>
    </row>
    <row r="230" spans="1:17" ht="15.6" x14ac:dyDescent="0.3">
      <c r="A230" s="3" t="s">
        <v>445</v>
      </c>
      <c r="B230" s="3" t="s">
        <v>31</v>
      </c>
      <c r="C230" s="3" t="s">
        <v>149</v>
      </c>
      <c r="D230" s="3" t="s">
        <v>42</v>
      </c>
      <c r="E230" s="3" t="s">
        <v>85</v>
      </c>
      <c r="F230" s="3">
        <v>4799</v>
      </c>
      <c r="G230" s="3">
        <v>694</v>
      </c>
      <c r="H230" s="3">
        <v>289</v>
      </c>
      <c r="I230" s="3">
        <v>43191</v>
      </c>
      <c r="J230" s="3">
        <v>42228</v>
      </c>
      <c r="K230" s="3">
        <v>118</v>
      </c>
      <c r="L230" s="4" t="s">
        <v>28</v>
      </c>
      <c r="M230" s="4"/>
      <c r="N230" s="4"/>
      <c r="O230" s="4"/>
      <c r="P230" s="5"/>
      <c r="Q230" s="12">
        <f t="shared" si="3"/>
        <v>0.13387048227640017</v>
      </c>
    </row>
    <row r="231" spans="1:17" ht="15.6" x14ac:dyDescent="0.3">
      <c r="A231" s="3" t="s">
        <v>446</v>
      </c>
      <c r="B231" s="3" t="s">
        <v>40</v>
      </c>
      <c r="C231" s="3" t="s">
        <v>308</v>
      </c>
      <c r="D231" s="3" t="s">
        <v>16</v>
      </c>
      <c r="E231" s="3" t="s">
        <v>62</v>
      </c>
      <c r="F231" s="3">
        <v>3663</v>
      </c>
      <c r="G231" s="3">
        <v>17</v>
      </c>
      <c r="H231" s="3">
        <v>295</v>
      </c>
      <c r="I231" s="3">
        <v>51282</v>
      </c>
      <c r="J231" s="3">
        <v>50567</v>
      </c>
      <c r="K231" s="3">
        <v>84</v>
      </c>
      <c r="L231" s="4" t="s">
        <v>35</v>
      </c>
      <c r="M231" s="4"/>
      <c r="N231" s="4"/>
      <c r="O231" s="4"/>
      <c r="P231" s="5" t="s">
        <v>29</v>
      </c>
      <c r="Q231" s="12">
        <f t="shared" si="3"/>
        <v>7.7512577512577507E-2</v>
      </c>
    </row>
    <row r="232" spans="1:17" ht="15.6" x14ac:dyDescent="0.3">
      <c r="A232" s="3" t="s">
        <v>447</v>
      </c>
      <c r="B232" s="3" t="s">
        <v>31</v>
      </c>
      <c r="C232" s="3" t="s">
        <v>423</v>
      </c>
      <c r="D232" s="3" t="s">
        <v>21</v>
      </c>
      <c r="E232" s="3" t="s">
        <v>109</v>
      </c>
      <c r="F232" s="3">
        <v>1430</v>
      </c>
      <c r="G232" s="3">
        <v>376</v>
      </c>
      <c r="H232" s="3">
        <v>33</v>
      </c>
      <c r="I232" s="3">
        <v>21450</v>
      </c>
      <c r="J232" s="3">
        <v>20509</v>
      </c>
      <c r="K232" s="3">
        <v>251</v>
      </c>
      <c r="L232" s="4" t="s">
        <v>59</v>
      </c>
      <c r="M232" s="4"/>
      <c r="N232" s="4"/>
      <c r="O232" s="4"/>
      <c r="P232" s="5" t="s">
        <v>18</v>
      </c>
      <c r="Q232" s="12">
        <f t="shared" si="3"/>
        <v>8.5734265734265735E-2</v>
      </c>
    </row>
    <row r="233" spans="1:17" ht="15.6" x14ac:dyDescent="0.3">
      <c r="A233" s="3" t="s">
        <v>448</v>
      </c>
      <c r="B233" s="3" t="s">
        <v>14</v>
      </c>
      <c r="C233" s="3" t="s">
        <v>449</v>
      </c>
      <c r="D233" s="3" t="s">
        <v>33</v>
      </c>
      <c r="E233" s="3" t="s">
        <v>145</v>
      </c>
      <c r="F233" s="3">
        <v>249</v>
      </c>
      <c r="G233" s="3">
        <v>592</v>
      </c>
      <c r="H233" s="3">
        <v>230</v>
      </c>
      <c r="I233" s="3">
        <v>1494</v>
      </c>
      <c r="J233" s="3">
        <v>1044</v>
      </c>
      <c r="K233" s="3">
        <v>201</v>
      </c>
      <c r="L233" s="4" t="s">
        <v>35</v>
      </c>
      <c r="M233" s="4"/>
      <c r="N233" s="4"/>
      <c r="O233" s="4"/>
      <c r="P233" s="5" t="s">
        <v>36</v>
      </c>
      <c r="Q233" s="12">
        <f t="shared" si="3"/>
        <v>0.7168674698795181</v>
      </c>
    </row>
    <row r="234" spans="1:17" ht="15.6" x14ac:dyDescent="0.3">
      <c r="A234" s="3" t="s">
        <v>450</v>
      </c>
      <c r="B234" s="3" t="s">
        <v>40</v>
      </c>
      <c r="C234" s="3" t="s">
        <v>130</v>
      </c>
      <c r="D234" s="3" t="s">
        <v>49</v>
      </c>
      <c r="E234" s="3" t="s">
        <v>56</v>
      </c>
      <c r="F234" s="3">
        <v>2382</v>
      </c>
      <c r="G234" s="3">
        <v>265</v>
      </c>
      <c r="H234" s="3">
        <v>134</v>
      </c>
      <c r="I234" s="3">
        <v>38112</v>
      </c>
      <c r="J234" s="3">
        <v>37437</v>
      </c>
      <c r="K234" s="3">
        <v>249</v>
      </c>
      <c r="L234" s="4" t="s">
        <v>59</v>
      </c>
      <c r="M234" s="4"/>
      <c r="N234" s="4"/>
      <c r="O234" s="4"/>
      <c r="P234" s="5" t="s">
        <v>36</v>
      </c>
      <c r="Q234" s="12">
        <f t="shared" si="3"/>
        <v>7.2969143576826198E-2</v>
      </c>
    </row>
    <row r="235" spans="1:17" ht="15.6" x14ac:dyDescent="0.3">
      <c r="A235" s="3" t="s">
        <v>451</v>
      </c>
      <c r="B235" s="3" t="s">
        <v>40</v>
      </c>
      <c r="C235" s="3" t="s">
        <v>452</v>
      </c>
      <c r="D235" s="3" t="s">
        <v>21</v>
      </c>
      <c r="E235" s="3" t="s">
        <v>53</v>
      </c>
      <c r="F235" s="3">
        <v>1272</v>
      </c>
      <c r="G235" s="3">
        <v>465</v>
      </c>
      <c r="H235" s="3">
        <v>99</v>
      </c>
      <c r="I235" s="3">
        <v>24168</v>
      </c>
      <c r="J235" s="3">
        <v>23719</v>
      </c>
      <c r="K235" s="3">
        <v>42</v>
      </c>
      <c r="L235" s="4" t="s">
        <v>28</v>
      </c>
      <c r="M235" s="4"/>
      <c r="N235" s="4"/>
      <c r="O235" s="4"/>
      <c r="P235" s="5"/>
      <c r="Q235" s="12">
        <f t="shared" si="3"/>
        <v>7.5968222442899705E-2</v>
      </c>
    </row>
    <row r="236" spans="1:17" ht="15.6" x14ac:dyDescent="0.3">
      <c r="A236" s="3" t="s">
        <v>453</v>
      </c>
      <c r="B236" s="3" t="s">
        <v>40</v>
      </c>
      <c r="C236" s="3" t="s">
        <v>383</v>
      </c>
      <c r="D236" s="3" t="s">
        <v>49</v>
      </c>
      <c r="E236" s="3" t="s">
        <v>56</v>
      </c>
      <c r="F236" s="3">
        <v>3196</v>
      </c>
      <c r="G236" s="3">
        <v>941</v>
      </c>
      <c r="H236" s="3">
        <v>376</v>
      </c>
      <c r="I236" s="3">
        <v>35156</v>
      </c>
      <c r="J236" s="3">
        <v>34444</v>
      </c>
      <c r="K236" s="3">
        <v>241</v>
      </c>
      <c r="L236" s="4" t="s">
        <v>28</v>
      </c>
      <c r="M236" s="4"/>
      <c r="N236" s="4"/>
      <c r="O236" s="4"/>
      <c r="P236" s="5" t="s">
        <v>29</v>
      </c>
      <c r="Q236" s="12">
        <f t="shared" si="3"/>
        <v>0.1283706906360223</v>
      </c>
    </row>
    <row r="237" spans="1:17" ht="15.6" x14ac:dyDescent="0.3">
      <c r="A237" s="3" t="s">
        <v>454</v>
      </c>
      <c r="B237" s="3" t="s">
        <v>40</v>
      </c>
      <c r="C237" s="3" t="s">
        <v>78</v>
      </c>
      <c r="D237" s="3" t="s">
        <v>21</v>
      </c>
      <c r="E237" s="3" t="s">
        <v>53</v>
      </c>
      <c r="F237" s="3">
        <v>1257</v>
      </c>
      <c r="G237" s="3">
        <v>19</v>
      </c>
      <c r="H237" s="3">
        <v>351</v>
      </c>
      <c r="I237" s="3">
        <v>12570</v>
      </c>
      <c r="J237" s="3">
        <v>11660</v>
      </c>
      <c r="K237" s="3">
        <v>194</v>
      </c>
      <c r="L237" s="4" t="s">
        <v>59</v>
      </c>
      <c r="M237" s="4" t="s">
        <v>552</v>
      </c>
      <c r="N237" s="4" t="s">
        <v>35</v>
      </c>
      <c r="O237" s="4"/>
      <c r="P237" s="5" t="s">
        <v>23</v>
      </c>
      <c r="Q237" s="12">
        <f t="shared" si="3"/>
        <v>0.12943516308671441</v>
      </c>
    </row>
    <row r="238" spans="1:17" ht="15.6" x14ac:dyDescent="0.3">
      <c r="A238" s="3" t="s">
        <v>455</v>
      </c>
      <c r="B238" s="3" t="s">
        <v>31</v>
      </c>
      <c r="C238" s="3" t="s">
        <v>332</v>
      </c>
      <c r="D238" s="3" t="s">
        <v>33</v>
      </c>
      <c r="E238" s="3" t="s">
        <v>34</v>
      </c>
      <c r="F238" s="3">
        <v>3770</v>
      </c>
      <c r="G238" s="3">
        <v>917</v>
      </c>
      <c r="H238" s="3">
        <v>129</v>
      </c>
      <c r="I238" s="3">
        <v>71630</v>
      </c>
      <c r="J238" s="3">
        <v>71322</v>
      </c>
      <c r="K238" s="3">
        <v>76</v>
      </c>
      <c r="L238" s="4" t="s">
        <v>59</v>
      </c>
      <c r="M238" s="4"/>
      <c r="N238" s="4"/>
      <c r="O238" s="4"/>
      <c r="P238" s="5" t="s">
        <v>18</v>
      </c>
      <c r="Q238" s="12">
        <f t="shared" si="3"/>
        <v>6.7234398994834563E-2</v>
      </c>
    </row>
    <row r="239" spans="1:17" ht="15.6" x14ac:dyDescent="0.3">
      <c r="A239" s="3" t="s">
        <v>456</v>
      </c>
      <c r="B239" s="3" t="s">
        <v>14</v>
      </c>
      <c r="C239" s="3" t="s">
        <v>457</v>
      </c>
      <c r="D239" s="3" t="s">
        <v>21</v>
      </c>
      <c r="E239" s="3" t="s">
        <v>22</v>
      </c>
      <c r="F239" s="3">
        <v>4725</v>
      </c>
      <c r="G239" s="3">
        <v>400</v>
      </c>
      <c r="H239" s="3">
        <v>362</v>
      </c>
      <c r="I239" s="3">
        <v>75600</v>
      </c>
      <c r="J239" s="3">
        <v>74927</v>
      </c>
      <c r="K239" s="3">
        <v>43</v>
      </c>
      <c r="L239" s="4" t="s">
        <v>59</v>
      </c>
      <c r="M239" s="4"/>
      <c r="N239" s="4"/>
      <c r="O239" s="4"/>
      <c r="P239" s="5" t="s">
        <v>36</v>
      </c>
      <c r="Q239" s="12">
        <f t="shared" si="3"/>
        <v>7.2579365079365077E-2</v>
      </c>
    </row>
    <row r="240" spans="1:17" ht="15.6" x14ac:dyDescent="0.3">
      <c r="A240" s="3" t="s">
        <v>458</v>
      </c>
      <c r="B240" s="3" t="s">
        <v>25</v>
      </c>
      <c r="C240" s="3" t="s">
        <v>143</v>
      </c>
      <c r="D240" s="3" t="s">
        <v>21</v>
      </c>
      <c r="E240" s="3" t="s">
        <v>100</v>
      </c>
      <c r="F240" s="3">
        <v>4188</v>
      </c>
      <c r="G240" s="3">
        <v>942</v>
      </c>
      <c r="H240" s="3">
        <v>118</v>
      </c>
      <c r="I240" s="3">
        <v>20940</v>
      </c>
      <c r="J240" s="3">
        <v>20471</v>
      </c>
      <c r="K240" s="3">
        <v>102</v>
      </c>
      <c r="L240" s="4" t="s">
        <v>59</v>
      </c>
      <c r="M240" s="4"/>
      <c r="N240" s="4"/>
      <c r="O240" s="4"/>
      <c r="P240" s="5"/>
      <c r="Q240" s="12">
        <f t="shared" si="3"/>
        <v>0.25062082139446035</v>
      </c>
    </row>
    <row r="241" spans="1:17" ht="15.6" x14ac:dyDescent="0.3">
      <c r="A241" s="3" t="s">
        <v>459</v>
      </c>
      <c r="B241" s="3" t="s">
        <v>14</v>
      </c>
      <c r="C241" s="3" t="s">
        <v>74</v>
      </c>
      <c r="D241" s="3" t="s">
        <v>42</v>
      </c>
      <c r="E241" s="3" t="s">
        <v>46</v>
      </c>
      <c r="F241" s="3">
        <v>929</v>
      </c>
      <c r="G241" s="3">
        <v>192</v>
      </c>
      <c r="H241" s="3">
        <v>322</v>
      </c>
      <c r="I241" s="3">
        <v>16722</v>
      </c>
      <c r="J241" s="3">
        <v>15996</v>
      </c>
      <c r="K241" s="3">
        <v>145</v>
      </c>
      <c r="L241" s="4" t="s">
        <v>35</v>
      </c>
      <c r="M241" s="4" t="s">
        <v>28</v>
      </c>
      <c r="N241" s="4" t="s">
        <v>552</v>
      </c>
      <c r="O241" s="4"/>
      <c r="P241" s="5" t="s">
        <v>29</v>
      </c>
      <c r="Q241" s="12">
        <f t="shared" si="3"/>
        <v>8.6293505561535699E-2</v>
      </c>
    </row>
    <row r="242" spans="1:17" ht="15.6" x14ac:dyDescent="0.3">
      <c r="A242" s="3" t="s">
        <v>460</v>
      </c>
      <c r="B242" s="3" t="s">
        <v>40</v>
      </c>
      <c r="C242" s="3" t="s">
        <v>461</v>
      </c>
      <c r="D242" s="3" t="s">
        <v>33</v>
      </c>
      <c r="E242" s="3" t="s">
        <v>68</v>
      </c>
      <c r="F242" s="3">
        <v>4321</v>
      </c>
      <c r="G242" s="3">
        <v>874</v>
      </c>
      <c r="H242" s="3">
        <v>172</v>
      </c>
      <c r="I242" s="3">
        <v>30247</v>
      </c>
      <c r="J242" s="3">
        <v>29254</v>
      </c>
      <c r="K242" s="3">
        <v>122</v>
      </c>
      <c r="L242" s="4" t="s">
        <v>28</v>
      </c>
      <c r="M242" s="4"/>
      <c r="N242" s="4"/>
      <c r="O242" s="4"/>
      <c r="P242" s="5" t="s">
        <v>36</v>
      </c>
      <c r="Q242" s="12">
        <f t="shared" si="3"/>
        <v>0.17743908486792079</v>
      </c>
    </row>
    <row r="243" spans="1:17" ht="15.6" x14ac:dyDescent="0.3">
      <c r="A243" s="3" t="s">
        <v>462</v>
      </c>
      <c r="B243" s="3" t="s">
        <v>40</v>
      </c>
      <c r="C243" s="3" t="s">
        <v>221</v>
      </c>
      <c r="D243" s="3" t="s">
        <v>16</v>
      </c>
      <c r="E243" s="3" t="s">
        <v>62</v>
      </c>
      <c r="F243" s="3">
        <v>4767</v>
      </c>
      <c r="G243" s="3">
        <v>190</v>
      </c>
      <c r="H243" s="3">
        <v>340</v>
      </c>
      <c r="I243" s="3">
        <v>28602</v>
      </c>
      <c r="J243" s="3">
        <v>28044</v>
      </c>
      <c r="K243" s="3">
        <v>210</v>
      </c>
      <c r="L243" s="4" t="s">
        <v>35</v>
      </c>
      <c r="M243" s="4"/>
      <c r="N243" s="4"/>
      <c r="O243" s="4"/>
      <c r="P243" s="5" t="s">
        <v>29</v>
      </c>
      <c r="Q243" s="12">
        <f t="shared" si="3"/>
        <v>0.18519683938186141</v>
      </c>
    </row>
    <row r="244" spans="1:17" ht="15.6" x14ac:dyDescent="0.3">
      <c r="A244" s="3" t="s">
        <v>463</v>
      </c>
      <c r="B244" s="3" t="s">
        <v>14</v>
      </c>
      <c r="C244" s="3" t="s">
        <v>464</v>
      </c>
      <c r="D244" s="3" t="s">
        <v>49</v>
      </c>
      <c r="E244" s="3" t="s">
        <v>128</v>
      </c>
      <c r="F244" s="3">
        <v>3592</v>
      </c>
      <c r="G244" s="3">
        <v>911</v>
      </c>
      <c r="H244" s="3">
        <v>375</v>
      </c>
      <c r="I244" s="3">
        <v>50288</v>
      </c>
      <c r="J244" s="3">
        <v>49490</v>
      </c>
      <c r="K244" s="3">
        <v>32</v>
      </c>
      <c r="L244" s="4" t="s">
        <v>59</v>
      </c>
      <c r="M244" s="4"/>
      <c r="N244" s="4"/>
      <c r="O244" s="4"/>
      <c r="P244" s="5" t="s">
        <v>36</v>
      </c>
      <c r="Q244" s="12">
        <f t="shared" si="3"/>
        <v>9.7001272669424113E-2</v>
      </c>
    </row>
    <row r="245" spans="1:17" ht="15.6" x14ac:dyDescent="0.3">
      <c r="A245" s="3" t="s">
        <v>465</v>
      </c>
      <c r="B245" s="3" t="s">
        <v>25</v>
      </c>
      <c r="C245" s="3" t="s">
        <v>466</v>
      </c>
      <c r="D245" s="3" t="s">
        <v>71</v>
      </c>
      <c r="E245" s="3" t="s">
        <v>212</v>
      </c>
      <c r="F245" s="3">
        <v>4661</v>
      </c>
      <c r="G245" s="3">
        <v>935</v>
      </c>
      <c r="H245" s="3">
        <v>433</v>
      </c>
      <c r="I245" s="3">
        <v>23305</v>
      </c>
      <c r="J245" s="3">
        <v>22583</v>
      </c>
      <c r="K245" s="3">
        <v>63</v>
      </c>
      <c r="L245" s="4" t="s">
        <v>59</v>
      </c>
      <c r="M245" s="4"/>
      <c r="N245" s="4"/>
      <c r="O245" s="4"/>
      <c r="P245" s="5" t="s">
        <v>29</v>
      </c>
      <c r="Q245" s="12">
        <f t="shared" si="3"/>
        <v>0.25869984981763572</v>
      </c>
    </row>
    <row r="246" spans="1:17" ht="15.6" x14ac:dyDescent="0.3">
      <c r="A246" s="3" t="s">
        <v>467</v>
      </c>
      <c r="B246" s="3" t="s">
        <v>40</v>
      </c>
      <c r="C246" s="3" t="s">
        <v>468</v>
      </c>
      <c r="D246" s="3" t="s">
        <v>16</v>
      </c>
      <c r="E246" s="3" t="s">
        <v>62</v>
      </c>
      <c r="F246" s="3">
        <v>4134</v>
      </c>
      <c r="G246" s="3">
        <v>824</v>
      </c>
      <c r="H246" s="3">
        <v>99</v>
      </c>
      <c r="I246" s="3">
        <v>41340</v>
      </c>
      <c r="J246" s="3">
        <v>41050</v>
      </c>
      <c r="K246" s="3">
        <v>177</v>
      </c>
      <c r="L246" s="4" t="s">
        <v>35</v>
      </c>
      <c r="M246" s="4"/>
      <c r="N246" s="4"/>
      <c r="O246" s="4"/>
      <c r="P246" s="5" t="s">
        <v>18</v>
      </c>
      <c r="Q246" s="12">
        <f t="shared" si="3"/>
        <v>0.12232704402515723</v>
      </c>
    </row>
    <row r="247" spans="1:17" ht="15.6" x14ac:dyDescent="0.3">
      <c r="A247" s="3" t="s">
        <v>469</v>
      </c>
      <c r="B247" s="3" t="s">
        <v>40</v>
      </c>
      <c r="C247" s="3" t="s">
        <v>470</v>
      </c>
      <c r="D247" s="3" t="s">
        <v>49</v>
      </c>
      <c r="E247" s="3" t="s">
        <v>56</v>
      </c>
      <c r="F247" s="3">
        <v>400</v>
      </c>
      <c r="G247" s="3">
        <v>680</v>
      </c>
      <c r="H247" s="3">
        <v>434</v>
      </c>
      <c r="I247" s="3">
        <v>6400</v>
      </c>
      <c r="J247" s="3">
        <v>5472</v>
      </c>
      <c r="K247" s="3">
        <v>160</v>
      </c>
      <c r="L247" s="4" t="s">
        <v>59</v>
      </c>
      <c r="M247" s="4"/>
      <c r="N247" s="4"/>
      <c r="O247" s="4"/>
      <c r="P247" s="5" t="s">
        <v>23</v>
      </c>
      <c r="Q247" s="12">
        <f t="shared" si="3"/>
        <v>0.23656250000000001</v>
      </c>
    </row>
    <row r="248" spans="1:17" ht="15.6" x14ac:dyDescent="0.3">
      <c r="A248" s="3" t="s">
        <v>471</v>
      </c>
      <c r="B248" s="3" t="s">
        <v>40</v>
      </c>
      <c r="C248" s="3" t="s">
        <v>472</v>
      </c>
      <c r="D248" s="3" t="s">
        <v>16</v>
      </c>
      <c r="E248" s="3" t="s">
        <v>62</v>
      </c>
      <c r="F248" s="3">
        <v>3960</v>
      </c>
      <c r="G248" s="3">
        <v>266</v>
      </c>
      <c r="H248" s="3">
        <v>8</v>
      </c>
      <c r="I248" s="3">
        <v>35640</v>
      </c>
      <c r="J248" s="3">
        <v>34850</v>
      </c>
      <c r="K248" s="3">
        <v>208</v>
      </c>
      <c r="L248" s="4" t="s">
        <v>59</v>
      </c>
      <c r="M248" s="4" t="s">
        <v>35</v>
      </c>
      <c r="N248" s="4" t="s">
        <v>553</v>
      </c>
      <c r="O248" s="4"/>
      <c r="P248" s="5"/>
      <c r="Q248" s="12">
        <f t="shared" si="3"/>
        <v>0.11879910213243547</v>
      </c>
    </row>
    <row r="249" spans="1:17" ht="15.6" x14ac:dyDescent="0.3">
      <c r="A249" s="3" t="s">
        <v>473</v>
      </c>
      <c r="B249" s="3" t="s">
        <v>40</v>
      </c>
      <c r="C249" s="3" t="s">
        <v>58</v>
      </c>
      <c r="D249" s="3" t="s">
        <v>33</v>
      </c>
      <c r="E249" s="3" t="s">
        <v>68</v>
      </c>
      <c r="F249" s="3">
        <v>886</v>
      </c>
      <c r="G249" s="3">
        <v>126</v>
      </c>
      <c r="H249" s="3">
        <v>153</v>
      </c>
      <c r="I249" s="3">
        <v>4430</v>
      </c>
      <c r="J249" s="3">
        <v>4037</v>
      </c>
      <c r="K249" s="3">
        <v>212</v>
      </c>
      <c r="L249" s="4" t="s">
        <v>35</v>
      </c>
      <c r="M249" s="4"/>
      <c r="N249" s="4"/>
      <c r="O249" s="4"/>
      <c r="P249" s="5"/>
      <c r="Q249" s="12">
        <f t="shared" si="3"/>
        <v>0.26297968397291194</v>
      </c>
    </row>
    <row r="250" spans="1:17" ht="15.6" x14ac:dyDescent="0.3">
      <c r="A250" s="3" t="s">
        <v>474</v>
      </c>
      <c r="B250" s="3" t="s">
        <v>14</v>
      </c>
      <c r="C250" s="3" t="s">
        <v>420</v>
      </c>
      <c r="D250" s="3" t="s">
        <v>49</v>
      </c>
      <c r="E250" s="3" t="s">
        <v>128</v>
      </c>
      <c r="F250" s="3">
        <v>827</v>
      </c>
      <c r="G250" s="3">
        <v>77</v>
      </c>
      <c r="H250" s="3">
        <v>402</v>
      </c>
      <c r="I250" s="3">
        <v>14886</v>
      </c>
      <c r="J250" s="3">
        <v>14129</v>
      </c>
      <c r="K250" s="3">
        <v>254</v>
      </c>
      <c r="L250" s="4" t="s">
        <v>35</v>
      </c>
      <c r="M250" s="4"/>
      <c r="N250" s="4"/>
      <c r="O250" s="4"/>
      <c r="P250" s="5" t="s">
        <v>23</v>
      </c>
      <c r="Q250" s="12">
        <f t="shared" si="3"/>
        <v>8.7733440816874911E-2</v>
      </c>
    </row>
    <row r="251" spans="1:17" ht="15.6" x14ac:dyDescent="0.3">
      <c r="A251" s="3" t="s">
        <v>475</v>
      </c>
      <c r="B251" s="3" t="s">
        <v>40</v>
      </c>
      <c r="C251" s="3" t="s">
        <v>167</v>
      </c>
      <c r="D251" s="3" t="s">
        <v>16</v>
      </c>
      <c r="E251" s="3" t="s">
        <v>62</v>
      </c>
      <c r="F251" s="3">
        <v>3813</v>
      </c>
      <c r="G251" s="3">
        <v>935</v>
      </c>
      <c r="H251" s="3">
        <v>274</v>
      </c>
      <c r="I251" s="3">
        <v>68634</v>
      </c>
      <c r="J251" s="3">
        <v>68488</v>
      </c>
      <c r="K251" s="3">
        <v>251</v>
      </c>
      <c r="L251" s="4" t="s">
        <v>59</v>
      </c>
      <c r="M251" s="4"/>
      <c r="N251" s="4"/>
      <c r="O251" s="4"/>
      <c r="P251" s="5"/>
      <c r="Q251" s="12">
        <f t="shared" si="3"/>
        <v>7.3170731707317069E-2</v>
      </c>
    </row>
    <row r="252" spans="1:17" ht="15.6" x14ac:dyDescent="0.3">
      <c r="A252" s="3" t="s">
        <v>476</v>
      </c>
      <c r="B252" s="3" t="s">
        <v>31</v>
      </c>
      <c r="C252" s="3" t="s">
        <v>477</v>
      </c>
      <c r="D252" s="3" t="s">
        <v>42</v>
      </c>
      <c r="E252" s="3" t="s">
        <v>85</v>
      </c>
      <c r="F252" s="3">
        <v>1377</v>
      </c>
      <c r="G252" s="3">
        <v>796</v>
      </c>
      <c r="H252" s="3">
        <v>387</v>
      </c>
      <c r="I252" s="3">
        <v>22032</v>
      </c>
      <c r="J252" s="3">
        <v>21869</v>
      </c>
      <c r="K252" s="3">
        <v>189</v>
      </c>
      <c r="L252" s="4" t="s">
        <v>59</v>
      </c>
      <c r="M252" s="4"/>
      <c r="N252" s="4"/>
      <c r="O252" s="4"/>
      <c r="P252" s="5"/>
      <c r="Q252" s="12">
        <f t="shared" si="3"/>
        <v>0.11619462599854757</v>
      </c>
    </row>
    <row r="253" spans="1:17" ht="15.6" x14ac:dyDescent="0.3">
      <c r="A253" s="3" t="s">
        <v>478</v>
      </c>
      <c r="B253" s="3" t="s">
        <v>40</v>
      </c>
      <c r="C253" s="3" t="s">
        <v>355</v>
      </c>
      <c r="D253" s="3" t="s">
        <v>42</v>
      </c>
      <c r="E253" s="3" t="s">
        <v>43</v>
      </c>
      <c r="F253" s="3">
        <v>2089</v>
      </c>
      <c r="G253" s="3">
        <v>476</v>
      </c>
      <c r="H253" s="3">
        <v>69</v>
      </c>
      <c r="I253" s="3">
        <v>16712</v>
      </c>
      <c r="J253" s="3">
        <v>16309</v>
      </c>
      <c r="K253" s="3">
        <v>64</v>
      </c>
      <c r="L253" s="4" t="s">
        <v>59</v>
      </c>
      <c r="M253" s="4"/>
      <c r="N253" s="4"/>
      <c r="O253" s="4"/>
      <c r="P253" s="5" t="s">
        <v>29</v>
      </c>
      <c r="Q253" s="12">
        <f t="shared" si="3"/>
        <v>0.15761129727142173</v>
      </c>
    </row>
    <row r="254" spans="1:17" ht="15.6" x14ac:dyDescent="0.3">
      <c r="A254" s="3" t="s">
        <v>479</v>
      </c>
      <c r="B254" s="3" t="s">
        <v>14</v>
      </c>
      <c r="C254" s="3" t="s">
        <v>480</v>
      </c>
      <c r="D254" s="3" t="s">
        <v>16</v>
      </c>
      <c r="E254" s="3" t="s">
        <v>17</v>
      </c>
      <c r="F254" s="3">
        <v>3791</v>
      </c>
      <c r="G254" s="3">
        <v>593</v>
      </c>
      <c r="H254" s="3">
        <v>228</v>
      </c>
      <c r="I254" s="3">
        <v>53074</v>
      </c>
      <c r="J254" s="3">
        <v>52613</v>
      </c>
      <c r="K254" s="3">
        <v>205</v>
      </c>
      <c r="L254" s="4" t="s">
        <v>35</v>
      </c>
      <c r="M254" s="4"/>
      <c r="N254" s="4"/>
      <c r="O254" s="4"/>
      <c r="P254" s="5"/>
      <c r="Q254" s="12">
        <f t="shared" si="3"/>
        <v>8.6897539284772202E-2</v>
      </c>
    </row>
    <row r="255" spans="1:17" ht="15.6" x14ac:dyDescent="0.3">
      <c r="A255" s="3" t="s">
        <v>481</v>
      </c>
      <c r="B255" s="3" t="s">
        <v>14</v>
      </c>
      <c r="C255" s="3" t="s">
        <v>482</v>
      </c>
      <c r="D255" s="3" t="s">
        <v>49</v>
      </c>
      <c r="E255" s="3" t="s">
        <v>128</v>
      </c>
      <c r="F255" s="3">
        <v>2692</v>
      </c>
      <c r="G255" s="3">
        <v>115</v>
      </c>
      <c r="H255" s="3">
        <v>64</v>
      </c>
      <c r="I255" s="3">
        <v>21536</v>
      </c>
      <c r="J255" s="3">
        <v>21120</v>
      </c>
      <c r="K255" s="3">
        <v>224</v>
      </c>
      <c r="L255" s="4" t="s">
        <v>59</v>
      </c>
      <c r="M255" s="4"/>
      <c r="N255" s="4"/>
      <c r="O255" s="4"/>
      <c r="P255" s="5" t="s">
        <v>23</v>
      </c>
      <c r="Q255" s="12">
        <f t="shared" si="3"/>
        <v>0.13331166419019316</v>
      </c>
    </row>
    <row r="256" spans="1:17" ht="15.6" x14ac:dyDescent="0.3">
      <c r="A256" s="3" t="s">
        <v>483</v>
      </c>
      <c r="B256" s="3" t="s">
        <v>40</v>
      </c>
      <c r="C256" s="3" t="s">
        <v>20</v>
      </c>
      <c r="D256" s="3" t="s">
        <v>33</v>
      </c>
      <c r="E256" s="3" t="s">
        <v>68</v>
      </c>
      <c r="F256" s="3">
        <v>3767</v>
      </c>
      <c r="G256" s="3">
        <v>514</v>
      </c>
      <c r="H256" s="3">
        <v>238</v>
      </c>
      <c r="I256" s="3">
        <v>37670</v>
      </c>
      <c r="J256" s="3">
        <v>36807</v>
      </c>
      <c r="K256" s="3">
        <v>226</v>
      </c>
      <c r="L256" s="4" t="s">
        <v>59</v>
      </c>
      <c r="M256" s="4"/>
      <c r="N256" s="4"/>
      <c r="O256" s="4"/>
      <c r="P256" s="5" t="s">
        <v>36</v>
      </c>
      <c r="Q256" s="12">
        <f t="shared" si="3"/>
        <v>0.11996283514733209</v>
      </c>
    </row>
    <row r="257" spans="1:17" ht="15.6" x14ac:dyDescent="0.3">
      <c r="A257" s="3" t="s">
        <v>484</v>
      </c>
      <c r="B257" s="3" t="s">
        <v>25</v>
      </c>
      <c r="C257" s="3" t="s">
        <v>245</v>
      </c>
      <c r="D257" s="3" t="s">
        <v>42</v>
      </c>
      <c r="E257" s="3" t="s">
        <v>65</v>
      </c>
      <c r="F257" s="3">
        <v>2143</v>
      </c>
      <c r="G257" s="3">
        <v>12</v>
      </c>
      <c r="H257" s="3">
        <v>204</v>
      </c>
      <c r="I257" s="3">
        <v>40717</v>
      </c>
      <c r="J257" s="3">
        <v>40125</v>
      </c>
      <c r="K257" s="3">
        <v>248</v>
      </c>
      <c r="L257" s="4" t="s">
        <v>35</v>
      </c>
      <c r="M257" s="4"/>
      <c r="N257" s="4"/>
      <c r="O257" s="4"/>
      <c r="P257" s="5" t="s">
        <v>23</v>
      </c>
      <c r="Q257" s="12">
        <f t="shared" si="3"/>
        <v>5.7936488444630008E-2</v>
      </c>
    </row>
    <row r="258" spans="1:17" ht="15.6" x14ac:dyDescent="0.3">
      <c r="A258" s="3" t="s">
        <v>485</v>
      </c>
      <c r="B258" s="3" t="s">
        <v>40</v>
      </c>
      <c r="C258" s="3" t="s">
        <v>284</v>
      </c>
      <c r="D258" s="3" t="s">
        <v>49</v>
      </c>
      <c r="E258" s="3" t="s">
        <v>56</v>
      </c>
      <c r="F258" s="3">
        <v>3090</v>
      </c>
      <c r="G258" s="3">
        <v>697</v>
      </c>
      <c r="H258" s="3">
        <v>164</v>
      </c>
      <c r="I258" s="3">
        <v>49440</v>
      </c>
      <c r="J258" s="3">
        <v>48524</v>
      </c>
      <c r="K258" s="3">
        <v>25</v>
      </c>
      <c r="L258" s="4" t="s">
        <v>35</v>
      </c>
      <c r="M258" s="4" t="s">
        <v>35</v>
      </c>
      <c r="N258" s="4" t="s">
        <v>553</v>
      </c>
      <c r="O258" s="4"/>
      <c r="P258" s="5" t="s">
        <v>23</v>
      </c>
      <c r="Q258" s="12">
        <f t="shared" ref="Q258:Q301" si="4">(F258+G258+H258)/I258</f>
        <v>7.9915048543689318E-2</v>
      </c>
    </row>
    <row r="259" spans="1:17" ht="15.6" x14ac:dyDescent="0.3">
      <c r="A259" s="3" t="s">
        <v>486</v>
      </c>
      <c r="B259" s="3" t="s">
        <v>31</v>
      </c>
      <c r="C259" s="3" t="s">
        <v>487</v>
      </c>
      <c r="D259" s="3" t="s">
        <v>33</v>
      </c>
      <c r="E259" s="3" t="s">
        <v>34</v>
      </c>
      <c r="F259" s="3">
        <v>3601</v>
      </c>
      <c r="G259" s="3">
        <v>695</v>
      </c>
      <c r="H259" s="3">
        <v>75</v>
      </c>
      <c r="I259" s="3">
        <v>21606</v>
      </c>
      <c r="J259" s="3">
        <v>21454</v>
      </c>
      <c r="K259" s="3">
        <v>172</v>
      </c>
      <c r="L259" s="4" t="s">
        <v>35</v>
      </c>
      <c r="M259" s="4"/>
      <c r="N259" s="4"/>
      <c r="O259" s="4"/>
      <c r="P259" s="5" t="s">
        <v>23</v>
      </c>
      <c r="Q259" s="12">
        <f t="shared" si="4"/>
        <v>0.2023049153013052</v>
      </c>
    </row>
    <row r="260" spans="1:17" ht="15.6" x14ac:dyDescent="0.3">
      <c r="A260" s="3" t="s">
        <v>488</v>
      </c>
      <c r="B260" s="3" t="s">
        <v>40</v>
      </c>
      <c r="C260" s="3" t="s">
        <v>242</v>
      </c>
      <c r="D260" s="3" t="s">
        <v>21</v>
      </c>
      <c r="E260" s="3" t="s">
        <v>53</v>
      </c>
      <c r="F260" s="3">
        <v>562</v>
      </c>
      <c r="G260" s="3">
        <v>158</v>
      </c>
      <c r="H260" s="3">
        <v>149</v>
      </c>
      <c r="I260" s="3">
        <v>3372</v>
      </c>
      <c r="J260" s="3">
        <v>2940</v>
      </c>
      <c r="K260" s="3">
        <v>93</v>
      </c>
      <c r="L260" s="4" t="s">
        <v>28</v>
      </c>
      <c r="M260" s="4"/>
      <c r="N260" s="4"/>
      <c r="O260" s="4"/>
      <c r="P260" s="5" t="s">
        <v>18</v>
      </c>
      <c r="Q260" s="12">
        <f t="shared" si="4"/>
        <v>0.25771055753262156</v>
      </c>
    </row>
    <row r="261" spans="1:17" ht="15.6" x14ac:dyDescent="0.3">
      <c r="A261" s="3" t="s">
        <v>489</v>
      </c>
      <c r="B261" s="3" t="s">
        <v>31</v>
      </c>
      <c r="C261" s="3" t="s">
        <v>490</v>
      </c>
      <c r="D261" s="3" t="s">
        <v>33</v>
      </c>
      <c r="E261" s="3" t="s">
        <v>34</v>
      </c>
      <c r="F261" s="3">
        <v>4332</v>
      </c>
      <c r="G261" s="3">
        <v>771</v>
      </c>
      <c r="H261" s="3">
        <v>219</v>
      </c>
      <c r="I261" s="3">
        <v>60648</v>
      </c>
      <c r="J261" s="3">
        <v>60397</v>
      </c>
      <c r="K261" s="3">
        <v>10</v>
      </c>
      <c r="L261" s="4" t="s">
        <v>28</v>
      </c>
      <c r="M261" s="4" t="s">
        <v>35</v>
      </c>
      <c r="N261" s="4" t="s">
        <v>553</v>
      </c>
      <c r="O261" s="4"/>
      <c r="P261" s="5" t="s">
        <v>29</v>
      </c>
      <c r="Q261" s="12">
        <f t="shared" si="4"/>
        <v>8.7752275425405618E-2</v>
      </c>
    </row>
    <row r="262" spans="1:17" ht="15.6" x14ac:dyDescent="0.3">
      <c r="A262" s="3" t="s">
        <v>491</v>
      </c>
      <c r="B262" s="3" t="s">
        <v>31</v>
      </c>
      <c r="C262" s="3" t="s">
        <v>492</v>
      </c>
      <c r="D262" s="3" t="s">
        <v>49</v>
      </c>
      <c r="E262" s="3" t="s">
        <v>209</v>
      </c>
      <c r="F262" s="3">
        <v>4853</v>
      </c>
      <c r="G262" s="3">
        <v>837</v>
      </c>
      <c r="H262" s="3">
        <v>340</v>
      </c>
      <c r="I262" s="3">
        <v>72795</v>
      </c>
      <c r="J262" s="3">
        <v>72237</v>
      </c>
      <c r="K262" s="3">
        <v>170</v>
      </c>
      <c r="L262" s="4" t="s">
        <v>35</v>
      </c>
      <c r="M262" s="4"/>
      <c r="N262" s="4"/>
      <c r="O262" s="4"/>
      <c r="P262" s="5" t="s">
        <v>18</v>
      </c>
      <c r="Q262" s="12">
        <f t="shared" si="4"/>
        <v>8.2835359571399134E-2</v>
      </c>
    </row>
    <row r="263" spans="1:17" ht="15.6" x14ac:dyDescent="0.3">
      <c r="A263" s="3" t="s">
        <v>493</v>
      </c>
      <c r="B263" s="3" t="s">
        <v>25</v>
      </c>
      <c r="C263" s="3" t="s">
        <v>461</v>
      </c>
      <c r="D263" s="3" t="s">
        <v>49</v>
      </c>
      <c r="E263" s="3" t="s">
        <v>50</v>
      </c>
      <c r="F263" s="3">
        <v>1206</v>
      </c>
      <c r="G263" s="3">
        <v>238</v>
      </c>
      <c r="H263" s="3">
        <v>36</v>
      </c>
      <c r="I263" s="3">
        <v>9648</v>
      </c>
      <c r="J263" s="3">
        <v>9417</v>
      </c>
      <c r="K263" s="3">
        <v>237</v>
      </c>
      <c r="L263" s="4" t="s">
        <v>28</v>
      </c>
      <c r="M263" s="4"/>
      <c r="N263" s="4"/>
      <c r="O263" s="4"/>
      <c r="P263" s="5"/>
      <c r="Q263" s="12">
        <f t="shared" si="4"/>
        <v>0.15339966832504145</v>
      </c>
    </row>
    <row r="264" spans="1:17" ht="15.6" x14ac:dyDescent="0.3">
      <c r="A264" s="3" t="s">
        <v>494</v>
      </c>
      <c r="B264" s="3" t="s">
        <v>31</v>
      </c>
      <c r="C264" s="3" t="s">
        <v>495</v>
      </c>
      <c r="D264" s="3" t="s">
        <v>16</v>
      </c>
      <c r="E264" s="3" t="s">
        <v>79</v>
      </c>
      <c r="F264" s="3">
        <v>2603</v>
      </c>
      <c r="G264" s="3">
        <v>690</v>
      </c>
      <c r="H264" s="3">
        <v>205</v>
      </c>
      <c r="I264" s="3">
        <v>13015</v>
      </c>
      <c r="J264" s="3">
        <v>12130</v>
      </c>
      <c r="K264" s="3">
        <v>20</v>
      </c>
      <c r="L264" s="4" t="s">
        <v>59</v>
      </c>
      <c r="M264" s="4"/>
      <c r="N264" s="4"/>
      <c r="O264" s="4"/>
      <c r="P264" s="5" t="s">
        <v>23</v>
      </c>
      <c r="Q264" s="12">
        <f t="shared" si="4"/>
        <v>0.26876680752977333</v>
      </c>
    </row>
    <row r="265" spans="1:17" ht="15.6" x14ac:dyDescent="0.3">
      <c r="A265" s="3" t="s">
        <v>496</v>
      </c>
      <c r="B265" s="3" t="s">
        <v>14</v>
      </c>
      <c r="C265" s="3" t="s">
        <v>497</v>
      </c>
      <c r="D265" s="3" t="s">
        <v>49</v>
      </c>
      <c r="E265" s="3" t="s">
        <v>128</v>
      </c>
      <c r="F265" s="3">
        <v>59</v>
      </c>
      <c r="G265" s="3">
        <v>163</v>
      </c>
      <c r="H265" s="3">
        <v>93</v>
      </c>
      <c r="I265" s="3">
        <v>590</v>
      </c>
      <c r="J265" s="3">
        <v>475</v>
      </c>
      <c r="K265" s="3">
        <v>293</v>
      </c>
      <c r="L265" s="4" t="s">
        <v>28</v>
      </c>
      <c r="M265" s="4"/>
      <c r="N265" s="4"/>
      <c r="O265" s="4"/>
      <c r="P265" s="5" t="s">
        <v>23</v>
      </c>
      <c r="Q265" s="12">
        <f t="shared" si="4"/>
        <v>0.53389830508474578</v>
      </c>
    </row>
    <row r="266" spans="1:17" ht="15.6" x14ac:dyDescent="0.3">
      <c r="A266" s="3" t="s">
        <v>498</v>
      </c>
      <c r="B266" s="3" t="s">
        <v>14</v>
      </c>
      <c r="C266" s="3" t="s">
        <v>499</v>
      </c>
      <c r="D266" s="3" t="s">
        <v>42</v>
      </c>
      <c r="E266" s="3" t="s">
        <v>46</v>
      </c>
      <c r="F266" s="3">
        <v>1877</v>
      </c>
      <c r="G266" s="3">
        <v>745</v>
      </c>
      <c r="H266" s="3">
        <v>225</v>
      </c>
      <c r="I266" s="3">
        <v>11262</v>
      </c>
      <c r="J266" s="3">
        <v>10967</v>
      </c>
      <c r="K266" s="3">
        <v>41</v>
      </c>
      <c r="L266" s="4" t="s">
        <v>35</v>
      </c>
      <c r="M266" s="4"/>
      <c r="N266" s="4"/>
      <c r="O266" s="4"/>
      <c r="P266" s="5" t="s">
        <v>36</v>
      </c>
      <c r="Q266" s="12">
        <f t="shared" si="4"/>
        <v>0.25279701651571657</v>
      </c>
    </row>
    <row r="267" spans="1:17" ht="15.6" x14ac:dyDescent="0.3">
      <c r="A267" s="3" t="s">
        <v>500</v>
      </c>
      <c r="B267" s="3" t="s">
        <v>40</v>
      </c>
      <c r="C267" s="3" t="s">
        <v>125</v>
      </c>
      <c r="D267" s="3" t="s">
        <v>33</v>
      </c>
      <c r="E267" s="3" t="s">
        <v>68</v>
      </c>
      <c r="F267" s="3">
        <v>4182</v>
      </c>
      <c r="G267" s="3">
        <v>640</v>
      </c>
      <c r="H267" s="3">
        <v>240</v>
      </c>
      <c r="I267" s="3">
        <v>50184</v>
      </c>
      <c r="J267" s="3">
        <v>49351</v>
      </c>
      <c r="K267" s="3">
        <v>10</v>
      </c>
      <c r="L267" s="4" t="s">
        <v>28</v>
      </c>
      <c r="M267" s="4"/>
      <c r="N267" s="4"/>
      <c r="O267" s="4"/>
      <c r="P267" s="5" t="s">
        <v>29</v>
      </c>
      <c r="Q267" s="12">
        <f t="shared" si="4"/>
        <v>0.10086880280567512</v>
      </c>
    </row>
    <row r="268" spans="1:17" ht="15.6" x14ac:dyDescent="0.3">
      <c r="A268" s="3" t="s">
        <v>501</v>
      </c>
      <c r="B268" s="3" t="s">
        <v>14</v>
      </c>
      <c r="C268" s="3" t="s">
        <v>387</v>
      </c>
      <c r="D268" s="3" t="s">
        <v>16</v>
      </c>
      <c r="E268" s="3" t="s">
        <v>17</v>
      </c>
      <c r="F268" s="3">
        <v>4187</v>
      </c>
      <c r="G268" s="3">
        <v>66</v>
      </c>
      <c r="H268" s="3">
        <v>31</v>
      </c>
      <c r="I268" s="3">
        <v>66992</v>
      </c>
      <c r="J268" s="3">
        <v>66614</v>
      </c>
      <c r="K268" s="3">
        <v>62</v>
      </c>
      <c r="L268" s="4" t="s">
        <v>59</v>
      </c>
      <c r="M268" s="4"/>
      <c r="N268" s="4"/>
      <c r="O268" s="4"/>
      <c r="P268" s="5"/>
      <c r="Q268" s="12">
        <f t="shared" si="4"/>
        <v>6.3947934081681396E-2</v>
      </c>
    </row>
    <row r="269" spans="1:17" ht="15.6" x14ac:dyDescent="0.3">
      <c r="A269" s="3" t="s">
        <v>502</v>
      </c>
      <c r="B269" s="3" t="s">
        <v>31</v>
      </c>
      <c r="C269" s="3" t="s">
        <v>503</v>
      </c>
      <c r="D269" s="3" t="s">
        <v>16</v>
      </c>
      <c r="E269" s="3" t="s">
        <v>79</v>
      </c>
      <c r="F269" s="3">
        <v>4579</v>
      </c>
      <c r="G269" s="3">
        <v>125</v>
      </c>
      <c r="H269" s="3">
        <v>300</v>
      </c>
      <c r="I269" s="3">
        <v>59527</v>
      </c>
      <c r="J269" s="3">
        <v>59400</v>
      </c>
      <c r="K269" s="3">
        <v>269</v>
      </c>
      <c r="L269" s="4" t="s">
        <v>35</v>
      </c>
      <c r="M269" s="4"/>
      <c r="N269" s="4"/>
      <c r="O269" s="4"/>
      <c r="P269" s="5" t="s">
        <v>18</v>
      </c>
      <c r="Q269" s="12">
        <f t="shared" si="4"/>
        <v>8.4062694239588759E-2</v>
      </c>
    </row>
    <row r="270" spans="1:17" ht="15.6" x14ac:dyDescent="0.3">
      <c r="A270" s="3" t="s">
        <v>504</v>
      </c>
      <c r="B270" s="3" t="s">
        <v>31</v>
      </c>
      <c r="C270" s="3" t="s">
        <v>505</v>
      </c>
      <c r="D270" s="3" t="s">
        <v>71</v>
      </c>
      <c r="E270" s="3" t="s">
        <v>82</v>
      </c>
      <c r="F270" s="3">
        <v>4561</v>
      </c>
      <c r="G270" s="3">
        <v>51</v>
      </c>
      <c r="H270" s="3">
        <v>441</v>
      </c>
      <c r="I270" s="3">
        <v>22805</v>
      </c>
      <c r="J270" s="3">
        <v>21890</v>
      </c>
      <c r="K270" s="3">
        <v>45</v>
      </c>
      <c r="L270" s="4" t="s">
        <v>28</v>
      </c>
      <c r="M270" s="4"/>
      <c r="N270" s="4"/>
      <c r="O270" s="4"/>
      <c r="P270" s="5" t="s">
        <v>23</v>
      </c>
      <c r="Q270" s="12">
        <f t="shared" si="4"/>
        <v>0.22157421618066214</v>
      </c>
    </row>
    <row r="271" spans="1:17" ht="15.6" x14ac:dyDescent="0.3">
      <c r="A271" s="3" t="s">
        <v>506</v>
      </c>
      <c r="B271" s="3" t="s">
        <v>25</v>
      </c>
      <c r="C271" s="3" t="s">
        <v>405</v>
      </c>
      <c r="D271" s="3" t="s">
        <v>16</v>
      </c>
      <c r="E271" s="3" t="s">
        <v>27</v>
      </c>
      <c r="F271" s="3">
        <v>3774</v>
      </c>
      <c r="G271" s="3">
        <v>239</v>
      </c>
      <c r="H271" s="3">
        <v>39</v>
      </c>
      <c r="I271" s="3">
        <v>60384</v>
      </c>
      <c r="J271" s="3">
        <v>59490</v>
      </c>
      <c r="K271" s="3">
        <v>241</v>
      </c>
      <c r="L271" s="4" t="s">
        <v>28</v>
      </c>
      <c r="M271" s="4"/>
      <c r="N271" s="4"/>
      <c r="O271" s="4"/>
      <c r="P271" s="5" t="s">
        <v>29</v>
      </c>
      <c r="Q271" s="12">
        <f t="shared" si="4"/>
        <v>6.7103868574456813E-2</v>
      </c>
    </row>
    <row r="272" spans="1:17" ht="15.6" x14ac:dyDescent="0.3">
      <c r="A272" s="3" t="s">
        <v>507</v>
      </c>
      <c r="B272" s="3" t="s">
        <v>31</v>
      </c>
      <c r="C272" s="3" t="s">
        <v>508</v>
      </c>
      <c r="D272" s="3" t="s">
        <v>71</v>
      </c>
      <c r="E272" s="3" t="s">
        <v>82</v>
      </c>
      <c r="F272" s="3">
        <v>3575</v>
      </c>
      <c r="G272" s="3">
        <v>749</v>
      </c>
      <c r="H272" s="3">
        <v>111</v>
      </c>
      <c r="I272" s="3">
        <v>21450</v>
      </c>
      <c r="J272" s="3">
        <v>20785</v>
      </c>
      <c r="K272" s="3">
        <v>195</v>
      </c>
      <c r="L272" s="4" t="s">
        <v>35</v>
      </c>
      <c r="M272" s="4"/>
      <c r="N272" s="4"/>
      <c r="O272" s="4"/>
      <c r="P272" s="5" t="s">
        <v>23</v>
      </c>
      <c r="Q272" s="12">
        <f t="shared" si="4"/>
        <v>0.20675990675990677</v>
      </c>
    </row>
    <row r="273" spans="1:17" ht="15.6" x14ac:dyDescent="0.3">
      <c r="A273" s="3" t="s">
        <v>509</v>
      </c>
      <c r="B273" s="3" t="s">
        <v>31</v>
      </c>
      <c r="C273" s="3" t="s">
        <v>477</v>
      </c>
      <c r="D273" s="3" t="s">
        <v>21</v>
      </c>
      <c r="E273" s="3" t="s">
        <v>109</v>
      </c>
      <c r="F273" s="3">
        <v>4941</v>
      </c>
      <c r="G273" s="3">
        <v>414</v>
      </c>
      <c r="H273" s="3">
        <v>266</v>
      </c>
      <c r="I273" s="3">
        <v>39528</v>
      </c>
      <c r="J273" s="3">
        <v>39154</v>
      </c>
      <c r="K273" s="3">
        <v>217</v>
      </c>
      <c r="L273" s="4" t="s">
        <v>28</v>
      </c>
      <c r="M273" s="4"/>
      <c r="N273" s="4"/>
      <c r="O273" s="4"/>
      <c r="P273" s="5" t="s">
        <v>29</v>
      </c>
      <c r="Q273" s="12">
        <f t="shared" si="4"/>
        <v>0.14220299534507186</v>
      </c>
    </row>
    <row r="274" spans="1:17" ht="15.6" x14ac:dyDescent="0.3">
      <c r="A274" s="3" t="s">
        <v>510</v>
      </c>
      <c r="B274" s="3" t="s">
        <v>25</v>
      </c>
      <c r="C274" s="3" t="s">
        <v>511</v>
      </c>
      <c r="D274" s="3" t="s">
        <v>33</v>
      </c>
      <c r="E274" s="3" t="s">
        <v>150</v>
      </c>
      <c r="F274" s="3">
        <v>3641</v>
      </c>
      <c r="G274" s="3">
        <v>226</v>
      </c>
      <c r="H274" s="3">
        <v>46</v>
      </c>
      <c r="I274" s="3">
        <v>40051</v>
      </c>
      <c r="J274" s="3">
        <v>39319</v>
      </c>
      <c r="K274" s="3">
        <v>296</v>
      </c>
      <c r="L274" s="4" t="s">
        <v>35</v>
      </c>
      <c r="M274" s="4"/>
      <c r="N274" s="4"/>
      <c r="O274" s="4"/>
      <c r="P274" s="5" t="s">
        <v>36</v>
      </c>
      <c r="Q274" s="12">
        <f t="shared" si="4"/>
        <v>9.7700431949264685E-2</v>
      </c>
    </row>
    <row r="275" spans="1:17" ht="15.6" x14ac:dyDescent="0.3">
      <c r="A275" s="3" t="s">
        <v>512</v>
      </c>
      <c r="B275" s="3" t="s">
        <v>14</v>
      </c>
      <c r="C275" s="3" t="s">
        <v>327</v>
      </c>
      <c r="D275" s="3" t="s">
        <v>42</v>
      </c>
      <c r="E275" s="3" t="s">
        <v>46</v>
      </c>
      <c r="F275" s="3">
        <v>3535</v>
      </c>
      <c r="G275" s="3">
        <v>494</v>
      </c>
      <c r="H275" s="3">
        <v>152</v>
      </c>
      <c r="I275" s="3">
        <v>53025</v>
      </c>
      <c r="J275" s="3">
        <v>52791</v>
      </c>
      <c r="K275" s="3">
        <v>44</v>
      </c>
      <c r="L275" s="4" t="s">
        <v>28</v>
      </c>
      <c r="M275" s="4"/>
      <c r="N275" s="4"/>
      <c r="O275" s="4"/>
      <c r="P275" s="5" t="s">
        <v>36</v>
      </c>
      <c r="Q275" s="12">
        <f t="shared" si="4"/>
        <v>7.8849599245638849E-2</v>
      </c>
    </row>
    <row r="276" spans="1:17" ht="15.6" x14ac:dyDescent="0.3">
      <c r="A276" s="3" t="s">
        <v>513</v>
      </c>
      <c r="B276" s="3" t="s">
        <v>40</v>
      </c>
      <c r="C276" s="3" t="s">
        <v>487</v>
      </c>
      <c r="D276" s="3" t="s">
        <v>16</v>
      </c>
      <c r="E276" s="3" t="s">
        <v>62</v>
      </c>
      <c r="F276" s="3">
        <v>1741</v>
      </c>
      <c r="G276" s="3">
        <v>831</v>
      </c>
      <c r="H276" s="3">
        <v>345</v>
      </c>
      <c r="I276" s="3">
        <v>17410</v>
      </c>
      <c r="J276" s="3">
        <v>16844</v>
      </c>
      <c r="K276" s="3">
        <v>58</v>
      </c>
      <c r="L276" s="4" t="s">
        <v>35</v>
      </c>
      <c r="M276" s="4"/>
      <c r="N276" s="4"/>
      <c r="O276" s="4"/>
      <c r="P276" s="5" t="s">
        <v>29</v>
      </c>
      <c r="Q276" s="12">
        <f t="shared" si="4"/>
        <v>0.16754738655944859</v>
      </c>
    </row>
    <row r="277" spans="1:17" ht="15.6" x14ac:dyDescent="0.3">
      <c r="A277" s="3" t="s">
        <v>514</v>
      </c>
      <c r="B277" s="3" t="s">
        <v>14</v>
      </c>
      <c r="C277" s="3" t="s">
        <v>515</v>
      </c>
      <c r="D277" s="3" t="s">
        <v>42</v>
      </c>
      <c r="E277" s="3" t="s">
        <v>46</v>
      </c>
      <c r="F277" s="3">
        <v>1556</v>
      </c>
      <c r="G277" s="3">
        <v>195</v>
      </c>
      <c r="H277" s="3">
        <v>131</v>
      </c>
      <c r="I277" s="3">
        <v>9336</v>
      </c>
      <c r="J277" s="3">
        <v>8875</v>
      </c>
      <c r="K277" s="3">
        <v>137</v>
      </c>
      <c r="L277" s="4" t="s">
        <v>28</v>
      </c>
      <c r="M277" s="4"/>
      <c r="N277" s="4"/>
      <c r="O277" s="4"/>
      <c r="P277" s="5" t="s">
        <v>23</v>
      </c>
      <c r="Q277" s="12">
        <f t="shared" si="4"/>
        <v>0.2015852613538989</v>
      </c>
    </row>
    <row r="278" spans="1:17" ht="15.6" x14ac:dyDescent="0.3">
      <c r="A278" s="3" t="s">
        <v>516</v>
      </c>
      <c r="B278" s="3" t="s">
        <v>40</v>
      </c>
      <c r="C278" s="3" t="s">
        <v>284</v>
      </c>
      <c r="D278" s="3" t="s">
        <v>49</v>
      </c>
      <c r="E278" s="3" t="s">
        <v>56</v>
      </c>
      <c r="F278" s="3">
        <v>4236</v>
      </c>
      <c r="G278" s="3">
        <v>711</v>
      </c>
      <c r="H278" s="3">
        <v>298</v>
      </c>
      <c r="I278" s="3">
        <v>21180</v>
      </c>
      <c r="J278" s="3">
        <v>20516</v>
      </c>
      <c r="K278" s="3">
        <v>238</v>
      </c>
      <c r="L278" s="4" t="s">
        <v>59</v>
      </c>
      <c r="M278" s="4"/>
      <c r="N278" s="4"/>
      <c r="O278" s="4"/>
      <c r="P278" s="5" t="s">
        <v>18</v>
      </c>
      <c r="Q278" s="12">
        <f t="shared" si="4"/>
        <v>0.24763928234183191</v>
      </c>
    </row>
    <row r="279" spans="1:17" ht="15.6" x14ac:dyDescent="0.3">
      <c r="A279" s="3" t="s">
        <v>517</v>
      </c>
      <c r="B279" s="3" t="s">
        <v>14</v>
      </c>
      <c r="C279" s="3" t="s">
        <v>518</v>
      </c>
      <c r="D279" s="3" t="s">
        <v>21</v>
      </c>
      <c r="E279" s="3" t="s">
        <v>22</v>
      </c>
      <c r="F279" s="3">
        <v>4516</v>
      </c>
      <c r="G279" s="3">
        <v>836</v>
      </c>
      <c r="H279" s="3">
        <v>169</v>
      </c>
      <c r="I279" s="3">
        <v>49676</v>
      </c>
      <c r="J279" s="3">
        <v>49257</v>
      </c>
      <c r="K279" s="3">
        <v>282</v>
      </c>
      <c r="L279" s="4" t="s">
        <v>35</v>
      </c>
      <c r="M279" s="4"/>
      <c r="N279" s="4"/>
      <c r="O279" s="4"/>
      <c r="P279" s="5" t="s">
        <v>36</v>
      </c>
      <c r="Q279" s="12">
        <f t="shared" si="4"/>
        <v>0.11114018842096787</v>
      </c>
    </row>
    <row r="280" spans="1:17" ht="15.6" x14ac:dyDescent="0.3">
      <c r="A280" s="3" t="s">
        <v>519</v>
      </c>
      <c r="B280" s="3" t="s">
        <v>25</v>
      </c>
      <c r="C280" s="3" t="s">
        <v>189</v>
      </c>
      <c r="D280" s="3" t="s">
        <v>49</v>
      </c>
      <c r="E280" s="3" t="s">
        <v>50</v>
      </c>
      <c r="F280" s="3">
        <v>4905</v>
      </c>
      <c r="G280" s="3">
        <v>845</v>
      </c>
      <c r="H280" s="3">
        <v>129</v>
      </c>
      <c r="I280" s="3">
        <v>98100</v>
      </c>
      <c r="J280" s="3">
        <v>97772</v>
      </c>
      <c r="K280" s="3">
        <v>279</v>
      </c>
      <c r="L280" s="4" t="s">
        <v>28</v>
      </c>
      <c r="M280" s="4"/>
      <c r="N280" s="4"/>
      <c r="O280" s="4"/>
      <c r="P280" s="5" t="s">
        <v>23</v>
      </c>
      <c r="Q280" s="12">
        <f t="shared" si="4"/>
        <v>5.9928644240570844E-2</v>
      </c>
    </row>
    <row r="281" spans="1:17" ht="15.6" x14ac:dyDescent="0.3">
      <c r="A281" s="3" t="s">
        <v>520</v>
      </c>
      <c r="B281" s="3" t="s">
        <v>25</v>
      </c>
      <c r="C281" s="3" t="s">
        <v>163</v>
      </c>
      <c r="D281" s="3" t="s">
        <v>71</v>
      </c>
      <c r="E281" s="3" t="s">
        <v>212</v>
      </c>
      <c r="F281" s="3">
        <v>4275</v>
      </c>
      <c r="G281" s="3">
        <v>680</v>
      </c>
      <c r="H281" s="3">
        <v>385</v>
      </c>
      <c r="I281" s="3">
        <v>64125</v>
      </c>
      <c r="J281" s="3">
        <v>63650</v>
      </c>
      <c r="K281" s="3">
        <v>104</v>
      </c>
      <c r="L281" s="4" t="s">
        <v>35</v>
      </c>
      <c r="M281" s="8" t="s">
        <v>28</v>
      </c>
      <c r="N281" s="4" t="s">
        <v>552</v>
      </c>
      <c r="O281" s="4"/>
      <c r="P281" s="5" t="s">
        <v>36</v>
      </c>
      <c r="Q281" s="12">
        <f t="shared" si="4"/>
        <v>8.3274853801169585E-2</v>
      </c>
    </row>
    <row r="282" spans="1:17" ht="15.6" x14ac:dyDescent="0.3">
      <c r="A282" s="3" t="s">
        <v>521</v>
      </c>
      <c r="B282" s="3" t="s">
        <v>25</v>
      </c>
      <c r="C282" s="3" t="s">
        <v>522</v>
      </c>
      <c r="D282" s="3" t="s">
        <v>49</v>
      </c>
      <c r="E282" s="3" t="s">
        <v>50</v>
      </c>
      <c r="F282" s="3">
        <v>3166</v>
      </c>
      <c r="G282" s="3">
        <v>90</v>
      </c>
      <c r="H282" s="3">
        <v>341</v>
      </c>
      <c r="I282" s="3">
        <v>56988</v>
      </c>
      <c r="J282" s="3">
        <v>56125</v>
      </c>
      <c r="K282" s="3">
        <v>135</v>
      </c>
      <c r="L282" s="4" t="s">
        <v>35</v>
      </c>
      <c r="M282" s="4"/>
      <c r="N282" s="4"/>
      <c r="O282" s="4"/>
      <c r="P282" s="5" t="s">
        <v>23</v>
      </c>
      <c r="Q282" s="12">
        <f t="shared" si="4"/>
        <v>6.3118551273952411E-2</v>
      </c>
    </row>
    <row r="283" spans="1:17" ht="15.6" x14ac:dyDescent="0.3">
      <c r="A283" s="3" t="s">
        <v>523</v>
      </c>
      <c r="B283" s="3" t="s">
        <v>31</v>
      </c>
      <c r="C283" s="3" t="s">
        <v>524</v>
      </c>
      <c r="D283" s="3" t="s">
        <v>71</v>
      </c>
      <c r="E283" s="3" t="s">
        <v>82</v>
      </c>
      <c r="F283" s="3">
        <v>1488</v>
      </c>
      <c r="G283" s="3">
        <v>417</v>
      </c>
      <c r="H283" s="3">
        <v>168</v>
      </c>
      <c r="I283" s="3">
        <v>19344</v>
      </c>
      <c r="J283" s="3">
        <v>18395</v>
      </c>
      <c r="K283" s="3">
        <v>30</v>
      </c>
      <c r="L283" s="4" t="s">
        <v>59</v>
      </c>
      <c r="M283" s="4"/>
      <c r="N283" s="4"/>
      <c r="O283" s="4"/>
      <c r="P283" s="5" t="s">
        <v>29</v>
      </c>
      <c r="Q283" s="12">
        <f t="shared" si="4"/>
        <v>0.1071650124069479</v>
      </c>
    </row>
    <row r="284" spans="1:17" ht="15.6" x14ac:dyDescent="0.3">
      <c r="A284" s="3" t="s">
        <v>525</v>
      </c>
      <c r="B284" s="3" t="s">
        <v>14</v>
      </c>
      <c r="C284" s="3" t="s">
        <v>526</v>
      </c>
      <c r="D284" s="3" t="s">
        <v>16</v>
      </c>
      <c r="E284" s="3" t="s">
        <v>17</v>
      </c>
      <c r="F284" s="3">
        <v>3367</v>
      </c>
      <c r="G284" s="3">
        <v>302</v>
      </c>
      <c r="H284" s="3">
        <v>57</v>
      </c>
      <c r="I284" s="3">
        <v>63973</v>
      </c>
      <c r="J284" s="3">
        <v>63789</v>
      </c>
      <c r="K284" s="3">
        <v>157</v>
      </c>
      <c r="L284" s="4" t="s">
        <v>59</v>
      </c>
      <c r="M284" s="4"/>
      <c r="N284" s="4"/>
      <c r="O284" s="4"/>
      <c r="P284" s="5" t="s">
        <v>23</v>
      </c>
      <c r="Q284" s="12">
        <f t="shared" si="4"/>
        <v>5.8243321401216137E-2</v>
      </c>
    </row>
    <row r="285" spans="1:17" ht="15.6" x14ac:dyDescent="0.3">
      <c r="A285" s="3" t="s">
        <v>527</v>
      </c>
      <c r="B285" s="3" t="s">
        <v>14</v>
      </c>
      <c r="C285" s="3" t="s">
        <v>99</v>
      </c>
      <c r="D285" s="3" t="s">
        <v>21</v>
      </c>
      <c r="E285" s="3" t="s">
        <v>22</v>
      </c>
      <c r="F285" s="3">
        <v>571</v>
      </c>
      <c r="G285" s="3">
        <v>190</v>
      </c>
      <c r="H285" s="3">
        <v>352</v>
      </c>
      <c r="I285" s="3">
        <v>9707</v>
      </c>
      <c r="J285" s="3">
        <v>9418</v>
      </c>
      <c r="K285" s="3">
        <v>231</v>
      </c>
      <c r="L285" s="4" t="s">
        <v>28</v>
      </c>
      <c r="M285" s="4"/>
      <c r="N285" s="4"/>
      <c r="O285" s="4"/>
      <c r="P285" s="5" t="s">
        <v>36</v>
      </c>
      <c r="Q285" s="12">
        <f t="shared" si="4"/>
        <v>0.11465952405480581</v>
      </c>
    </row>
    <row r="286" spans="1:17" ht="15.6" x14ac:dyDescent="0.3">
      <c r="A286" s="3" t="s">
        <v>528</v>
      </c>
      <c r="B286" s="3" t="s">
        <v>25</v>
      </c>
      <c r="C286" s="3" t="s">
        <v>420</v>
      </c>
      <c r="D286" s="3" t="s">
        <v>21</v>
      </c>
      <c r="E286" s="3" t="s">
        <v>100</v>
      </c>
      <c r="F286" s="3">
        <v>4021</v>
      </c>
      <c r="G286" s="3">
        <v>794</v>
      </c>
      <c r="H286" s="3">
        <v>77</v>
      </c>
      <c r="I286" s="3">
        <v>36189</v>
      </c>
      <c r="J286" s="3">
        <v>35505</v>
      </c>
      <c r="K286" s="3">
        <v>174</v>
      </c>
      <c r="L286" s="4" t="s">
        <v>35</v>
      </c>
      <c r="M286" s="4"/>
      <c r="N286" s="4"/>
      <c r="O286" s="4"/>
      <c r="P286" s="5"/>
      <c r="Q286" s="12">
        <f t="shared" si="4"/>
        <v>0.13517919809886983</v>
      </c>
    </row>
    <row r="287" spans="1:17" ht="15.6" x14ac:dyDescent="0.3">
      <c r="A287" s="3" t="s">
        <v>529</v>
      </c>
      <c r="B287" s="3" t="s">
        <v>25</v>
      </c>
      <c r="C287" s="3" t="s">
        <v>530</v>
      </c>
      <c r="D287" s="3" t="s">
        <v>71</v>
      </c>
      <c r="E287" s="3" t="s">
        <v>212</v>
      </c>
      <c r="F287" s="3">
        <v>3389</v>
      </c>
      <c r="G287" s="3">
        <v>344</v>
      </c>
      <c r="H287" s="3">
        <v>229</v>
      </c>
      <c r="I287" s="3">
        <v>20334</v>
      </c>
      <c r="J287" s="3">
        <v>19443</v>
      </c>
      <c r="K287" s="3">
        <v>228</v>
      </c>
      <c r="L287" s="4" t="s">
        <v>59</v>
      </c>
      <c r="M287" s="4"/>
      <c r="N287" s="4"/>
      <c r="O287" s="4"/>
      <c r="P287" s="5" t="s">
        <v>29</v>
      </c>
      <c r="Q287" s="12">
        <f t="shared" si="4"/>
        <v>0.19484607062063539</v>
      </c>
    </row>
    <row r="288" spans="1:17" ht="15.6" x14ac:dyDescent="0.3">
      <c r="A288" s="3" t="s">
        <v>531</v>
      </c>
      <c r="B288" s="3" t="s">
        <v>31</v>
      </c>
      <c r="C288" s="3" t="s">
        <v>395</v>
      </c>
      <c r="D288" s="3" t="s">
        <v>16</v>
      </c>
      <c r="E288" s="3" t="s">
        <v>79</v>
      </c>
      <c r="F288" s="3">
        <v>1164</v>
      </c>
      <c r="G288" s="3">
        <v>616</v>
      </c>
      <c r="H288" s="3">
        <v>324</v>
      </c>
      <c r="I288" s="3">
        <v>6984</v>
      </c>
      <c r="J288" s="3">
        <v>6636</v>
      </c>
      <c r="K288" s="3">
        <v>82</v>
      </c>
      <c r="L288" s="4" t="s">
        <v>35</v>
      </c>
      <c r="M288" s="4"/>
      <c r="N288" s="4"/>
      <c r="O288" s="4"/>
      <c r="P288" s="5" t="s">
        <v>18</v>
      </c>
      <c r="Q288" s="12">
        <f t="shared" si="4"/>
        <v>0.30126002290950743</v>
      </c>
    </row>
    <row r="289" spans="1:17" ht="15.6" x14ac:dyDescent="0.3">
      <c r="A289" s="3" t="s">
        <v>532</v>
      </c>
      <c r="B289" s="3" t="s">
        <v>25</v>
      </c>
      <c r="C289" s="3" t="s">
        <v>533</v>
      </c>
      <c r="D289" s="3" t="s">
        <v>42</v>
      </c>
      <c r="E289" s="3" t="s">
        <v>65</v>
      </c>
      <c r="F289" s="3">
        <v>4780</v>
      </c>
      <c r="G289" s="3">
        <v>691</v>
      </c>
      <c r="H289" s="3">
        <v>380</v>
      </c>
      <c r="I289" s="3">
        <v>86040</v>
      </c>
      <c r="J289" s="3">
        <v>85743</v>
      </c>
      <c r="K289" s="3">
        <v>262</v>
      </c>
      <c r="L289" s="4" t="s">
        <v>59</v>
      </c>
      <c r="M289" s="4"/>
      <c r="N289" s="4"/>
      <c r="O289" s="4"/>
      <c r="P289" s="5" t="s">
        <v>29</v>
      </c>
      <c r="Q289" s="12">
        <f t="shared" si="4"/>
        <v>6.800325430032543E-2</v>
      </c>
    </row>
    <row r="290" spans="1:17" ht="15.6" x14ac:dyDescent="0.3">
      <c r="A290" s="3" t="s">
        <v>534</v>
      </c>
      <c r="B290" s="3" t="s">
        <v>40</v>
      </c>
      <c r="C290" s="3" t="s">
        <v>300</v>
      </c>
      <c r="D290" s="3" t="s">
        <v>42</v>
      </c>
      <c r="E290" s="3" t="s">
        <v>43</v>
      </c>
      <c r="F290" s="3">
        <v>2751</v>
      </c>
      <c r="G290" s="3">
        <v>33</v>
      </c>
      <c r="H290" s="3">
        <v>430</v>
      </c>
      <c r="I290" s="3">
        <v>44016</v>
      </c>
      <c r="J290" s="3">
        <v>43415</v>
      </c>
      <c r="K290" s="3">
        <v>129</v>
      </c>
      <c r="L290" s="4" t="s">
        <v>59</v>
      </c>
      <c r="M290" s="4"/>
      <c r="N290" s="4"/>
      <c r="O290" s="4"/>
      <c r="P290" s="5"/>
      <c r="Q290" s="12">
        <f t="shared" si="4"/>
        <v>7.3018902217375503E-2</v>
      </c>
    </row>
    <row r="291" spans="1:17" ht="15.6" x14ac:dyDescent="0.3">
      <c r="A291" s="3" t="s">
        <v>535</v>
      </c>
      <c r="B291" s="3" t="s">
        <v>31</v>
      </c>
      <c r="C291" s="3" t="s">
        <v>536</v>
      </c>
      <c r="D291" s="3" t="s">
        <v>42</v>
      </c>
      <c r="E291" s="3" t="s">
        <v>85</v>
      </c>
      <c r="F291" s="3">
        <v>2107</v>
      </c>
      <c r="G291" s="3">
        <v>550</v>
      </c>
      <c r="H291" s="3">
        <v>349</v>
      </c>
      <c r="I291" s="3">
        <v>35819</v>
      </c>
      <c r="J291" s="3">
        <v>35340</v>
      </c>
      <c r="K291" s="3">
        <v>191</v>
      </c>
      <c r="L291" s="4" t="s">
        <v>35</v>
      </c>
      <c r="M291" s="4"/>
      <c r="N291" s="4"/>
      <c r="O291" s="4"/>
      <c r="P291" s="5" t="s">
        <v>36</v>
      </c>
      <c r="Q291" s="12">
        <f t="shared" si="4"/>
        <v>8.3921940869371006E-2</v>
      </c>
    </row>
    <row r="292" spans="1:17" ht="15.6" x14ac:dyDescent="0.3">
      <c r="A292" s="3" t="s">
        <v>537</v>
      </c>
      <c r="B292" s="3" t="s">
        <v>40</v>
      </c>
      <c r="C292" s="3" t="s">
        <v>91</v>
      </c>
      <c r="D292" s="3" t="s">
        <v>71</v>
      </c>
      <c r="E292" s="3" t="s">
        <v>72</v>
      </c>
      <c r="F292" s="3">
        <v>4663</v>
      </c>
      <c r="G292" s="3">
        <v>145</v>
      </c>
      <c r="H292" s="3">
        <v>225</v>
      </c>
      <c r="I292" s="3">
        <v>69945</v>
      </c>
      <c r="J292" s="3">
        <v>69596</v>
      </c>
      <c r="K292" s="3">
        <v>35</v>
      </c>
      <c r="L292" s="4" t="s">
        <v>35</v>
      </c>
      <c r="M292" s="4"/>
      <c r="N292" s="4"/>
      <c r="O292" s="4"/>
      <c r="P292" s="5" t="s">
        <v>36</v>
      </c>
      <c r="Q292" s="12">
        <f t="shared" si="4"/>
        <v>7.1956537279290869E-2</v>
      </c>
    </row>
    <row r="293" spans="1:17" ht="15.6" x14ac:dyDescent="0.3">
      <c r="A293" s="3" t="s">
        <v>538</v>
      </c>
      <c r="B293" s="3" t="s">
        <v>40</v>
      </c>
      <c r="C293" s="3" t="s">
        <v>539</v>
      </c>
      <c r="D293" s="3" t="s">
        <v>21</v>
      </c>
      <c r="E293" s="3" t="s">
        <v>53</v>
      </c>
      <c r="F293" s="3">
        <v>880</v>
      </c>
      <c r="G293" s="3">
        <v>297</v>
      </c>
      <c r="H293" s="3">
        <v>345</v>
      </c>
      <c r="I293" s="3">
        <v>12320</v>
      </c>
      <c r="J293" s="3">
        <v>11978</v>
      </c>
      <c r="K293" s="3">
        <v>238</v>
      </c>
      <c r="L293" s="4" t="s">
        <v>28</v>
      </c>
      <c r="M293" s="4" t="s">
        <v>552</v>
      </c>
      <c r="N293" s="4"/>
      <c r="O293" s="4"/>
      <c r="P293" s="5"/>
      <c r="Q293" s="12">
        <f t="shared" si="4"/>
        <v>0.12353896103896105</v>
      </c>
    </row>
    <row r="294" spans="1:17" ht="15.6" x14ac:dyDescent="0.3">
      <c r="A294" s="3" t="s">
        <v>540</v>
      </c>
      <c r="B294" s="3" t="s">
        <v>40</v>
      </c>
      <c r="C294" s="3" t="s">
        <v>541</v>
      </c>
      <c r="D294" s="3" t="s">
        <v>21</v>
      </c>
      <c r="E294" s="3" t="s">
        <v>53</v>
      </c>
      <c r="F294" s="3">
        <v>2634</v>
      </c>
      <c r="G294" s="3">
        <v>726</v>
      </c>
      <c r="H294" s="3">
        <v>241</v>
      </c>
      <c r="I294" s="3">
        <v>28974</v>
      </c>
      <c r="J294" s="3">
        <v>28102</v>
      </c>
      <c r="K294" s="3">
        <v>277</v>
      </c>
      <c r="L294" s="4" t="s">
        <v>35</v>
      </c>
      <c r="M294" s="4"/>
      <c r="N294" s="4"/>
      <c r="O294" s="4"/>
      <c r="P294" s="5" t="s">
        <v>18</v>
      </c>
      <c r="Q294" s="12">
        <f t="shared" si="4"/>
        <v>0.12428384068475185</v>
      </c>
    </row>
    <row r="295" spans="1:17" ht="15.6" x14ac:dyDescent="0.3">
      <c r="A295" s="3" t="s">
        <v>542</v>
      </c>
      <c r="B295" s="3" t="s">
        <v>40</v>
      </c>
      <c r="C295" s="3" t="s">
        <v>543</v>
      </c>
      <c r="D295" s="3" t="s">
        <v>42</v>
      </c>
      <c r="E295" s="3" t="s">
        <v>43</v>
      </c>
      <c r="F295" s="3">
        <v>4731</v>
      </c>
      <c r="G295" s="3">
        <v>173</v>
      </c>
      <c r="H295" s="3">
        <v>276</v>
      </c>
      <c r="I295" s="3">
        <v>28386</v>
      </c>
      <c r="J295" s="3">
        <v>28185</v>
      </c>
      <c r="K295" s="3">
        <v>89</v>
      </c>
      <c r="L295" s="4" t="s">
        <v>35</v>
      </c>
      <c r="M295" s="4"/>
      <c r="N295" s="4"/>
      <c r="O295" s="4"/>
      <c r="P295" s="5" t="s">
        <v>29</v>
      </c>
      <c r="Q295" s="12">
        <f t="shared" si="4"/>
        <v>0.18248432325794406</v>
      </c>
    </row>
    <row r="296" spans="1:17" ht="15.6" x14ac:dyDescent="0.3">
      <c r="A296" s="3" t="s">
        <v>544</v>
      </c>
      <c r="B296" s="3" t="s">
        <v>14</v>
      </c>
      <c r="C296" s="3" t="s">
        <v>426</v>
      </c>
      <c r="D296" s="3" t="s">
        <v>49</v>
      </c>
      <c r="E296" s="3" t="s">
        <v>128</v>
      </c>
      <c r="F296" s="3">
        <v>1952</v>
      </c>
      <c r="G296" s="3">
        <v>344</v>
      </c>
      <c r="H296" s="3">
        <v>287</v>
      </c>
      <c r="I296" s="3">
        <v>15616</v>
      </c>
      <c r="J296" s="3">
        <v>15403</v>
      </c>
      <c r="K296" s="3">
        <v>235</v>
      </c>
      <c r="L296" s="4" t="s">
        <v>59</v>
      </c>
      <c r="M296" s="4" t="s">
        <v>28</v>
      </c>
      <c r="N296" s="4" t="s">
        <v>552</v>
      </c>
      <c r="O296" s="4"/>
      <c r="P296" s="5" t="s">
        <v>23</v>
      </c>
      <c r="Q296" s="12">
        <f t="shared" si="4"/>
        <v>0.16540727459016394</v>
      </c>
    </row>
    <row r="297" spans="1:17" ht="15.6" x14ac:dyDescent="0.3">
      <c r="A297" s="3" t="s">
        <v>545</v>
      </c>
      <c r="B297" s="3" t="s">
        <v>14</v>
      </c>
      <c r="C297" s="3" t="s">
        <v>546</v>
      </c>
      <c r="D297" s="3" t="s">
        <v>71</v>
      </c>
      <c r="E297" s="3" t="s">
        <v>141</v>
      </c>
      <c r="F297" s="3">
        <v>3440</v>
      </c>
      <c r="G297" s="3">
        <v>13</v>
      </c>
      <c r="H297" s="3">
        <v>20</v>
      </c>
      <c r="I297" s="3">
        <v>58480</v>
      </c>
      <c r="J297" s="3">
        <v>58146</v>
      </c>
      <c r="K297" s="3">
        <v>210</v>
      </c>
      <c r="L297" s="4" t="s">
        <v>28</v>
      </c>
      <c r="M297" s="4" t="s">
        <v>554</v>
      </c>
      <c r="N297" s="4"/>
      <c r="O297" s="4"/>
      <c r="P297" s="5" t="s">
        <v>36</v>
      </c>
      <c r="Q297" s="12">
        <f t="shared" si="4"/>
        <v>5.9387824897400819E-2</v>
      </c>
    </row>
    <row r="298" spans="1:17" ht="15.6" x14ac:dyDescent="0.3">
      <c r="A298" s="3" t="s">
        <v>547</v>
      </c>
      <c r="B298" s="3" t="s">
        <v>14</v>
      </c>
      <c r="C298" s="3" t="s">
        <v>548</v>
      </c>
      <c r="D298" s="3" t="s">
        <v>21</v>
      </c>
      <c r="E298" s="3" t="s">
        <v>22</v>
      </c>
      <c r="F298" s="3">
        <v>2166</v>
      </c>
      <c r="G298" s="3">
        <v>354</v>
      </c>
      <c r="H298" s="3">
        <v>117</v>
      </c>
      <c r="I298" s="3">
        <v>10830</v>
      </c>
      <c r="J298" s="3">
        <v>10245</v>
      </c>
      <c r="K298" s="3">
        <v>24</v>
      </c>
      <c r="L298" s="4" t="s">
        <v>35</v>
      </c>
      <c r="M298" s="4"/>
      <c r="N298" s="4"/>
      <c r="O298" s="4"/>
      <c r="P298" s="5" t="s">
        <v>36</v>
      </c>
      <c r="Q298" s="12">
        <f t="shared" si="4"/>
        <v>0.24349030470914126</v>
      </c>
    </row>
    <row r="299" spans="1:17" ht="15.6" x14ac:dyDescent="0.3">
      <c r="A299" s="3" t="s">
        <v>549</v>
      </c>
      <c r="B299" s="3" t="s">
        <v>40</v>
      </c>
      <c r="C299" s="3" t="s">
        <v>70</v>
      </c>
      <c r="D299" s="3" t="s">
        <v>49</v>
      </c>
      <c r="E299" s="3" t="s">
        <v>56</v>
      </c>
      <c r="F299" s="3">
        <v>4303</v>
      </c>
      <c r="G299" s="3">
        <v>451</v>
      </c>
      <c r="H299" s="3">
        <v>286</v>
      </c>
      <c r="I299" s="3">
        <v>86060</v>
      </c>
      <c r="J299" s="3">
        <v>85823</v>
      </c>
      <c r="K299" s="3">
        <v>14</v>
      </c>
      <c r="L299" s="4" t="s">
        <v>28</v>
      </c>
      <c r="M299" s="4"/>
      <c r="N299" s="4"/>
      <c r="O299" s="4"/>
      <c r="P299" s="5" t="s">
        <v>29</v>
      </c>
      <c r="Q299" s="12">
        <f t="shared" si="4"/>
        <v>5.8563792702765516E-2</v>
      </c>
    </row>
    <row r="300" spans="1:17" ht="15.6" x14ac:dyDescent="0.3">
      <c r="A300" s="3" t="s">
        <v>550</v>
      </c>
      <c r="B300" s="3" t="s">
        <v>40</v>
      </c>
      <c r="C300" s="3" t="s">
        <v>74</v>
      </c>
      <c r="D300" s="3" t="s">
        <v>49</v>
      </c>
      <c r="E300" s="3" t="s">
        <v>56</v>
      </c>
      <c r="F300" s="3">
        <v>2581</v>
      </c>
      <c r="G300" s="3">
        <v>517</v>
      </c>
      <c r="H300" s="3">
        <v>117</v>
      </c>
      <c r="I300" s="3">
        <v>23229</v>
      </c>
      <c r="J300" s="3">
        <v>22331</v>
      </c>
      <c r="K300" s="3">
        <v>70</v>
      </c>
      <c r="L300" s="4" t="s">
        <v>59</v>
      </c>
      <c r="M300" s="4"/>
      <c r="N300" s="4"/>
      <c r="O300" s="4"/>
      <c r="P300" s="5" t="s">
        <v>29</v>
      </c>
      <c r="Q300" s="12">
        <f t="shared" si="4"/>
        <v>0.13840458048129492</v>
      </c>
    </row>
    <row r="301" spans="1:17" ht="15.6" x14ac:dyDescent="0.3">
      <c r="A301" s="3" t="s">
        <v>551</v>
      </c>
      <c r="B301" s="3" t="s">
        <v>14</v>
      </c>
      <c r="C301" s="3" t="s">
        <v>310</v>
      </c>
      <c r="D301" s="3" t="s">
        <v>42</v>
      </c>
      <c r="E301" s="3" t="s">
        <v>46</v>
      </c>
      <c r="F301" s="3">
        <v>4494</v>
      </c>
      <c r="G301" s="3">
        <v>717</v>
      </c>
      <c r="H301" s="3">
        <v>45</v>
      </c>
      <c r="I301" s="3">
        <v>62916</v>
      </c>
      <c r="J301" s="3">
        <v>62688</v>
      </c>
      <c r="K301" s="3">
        <v>191</v>
      </c>
      <c r="L301" s="4" t="s">
        <v>28</v>
      </c>
      <c r="M301" s="4" t="s">
        <v>35</v>
      </c>
      <c r="N301" s="4" t="s">
        <v>553</v>
      </c>
      <c r="O301" s="4"/>
      <c r="P301" s="5" t="s">
        <v>18</v>
      </c>
      <c r="Q301" s="12">
        <f t="shared" si="4"/>
        <v>8.3539958039290485E-2</v>
      </c>
    </row>
    <row r="302" spans="1:17" x14ac:dyDescent="0.3">
      <c r="F302">
        <f>SUM(F2:F301)</f>
        <v>819991</v>
      </c>
    </row>
  </sheetData>
  <autoFilter ref="M1:M301" xr:uid="{42BA4D1C-D88F-454D-9794-71C53E786924}"/>
  <sortState xmlns:xlrd2="http://schemas.microsoft.com/office/spreadsheetml/2017/richdata2" ref="A2:Q303">
    <sortCondition ref="A1:A30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46360-F989-4A36-B736-B198A50EA7EB}">
  <dimension ref="A1:L8"/>
  <sheetViews>
    <sheetView workbookViewId="0">
      <selection activeCell="D30" sqref="D30"/>
    </sheetView>
  </sheetViews>
  <sheetFormatPr defaultRowHeight="14.4" x14ac:dyDescent="0.3"/>
  <cols>
    <col min="1" max="1" width="22.109375" bestFit="1" customWidth="1"/>
    <col min="2" max="2" width="19.44140625" bestFit="1" customWidth="1"/>
    <col min="3" max="3" width="11.88671875" bestFit="1" customWidth="1"/>
    <col min="4" max="4" width="12.33203125" customWidth="1"/>
    <col min="5" max="5" width="14.44140625" bestFit="1" customWidth="1"/>
    <col min="7" max="7" width="12.33203125" bestFit="1" customWidth="1"/>
    <col min="8" max="9" width="12.33203125" customWidth="1"/>
    <col min="10" max="12" width="15.88671875" bestFit="1" customWidth="1"/>
  </cols>
  <sheetData>
    <row r="1" spans="1:12" x14ac:dyDescent="0.3">
      <c r="A1" s="9" t="s">
        <v>11</v>
      </c>
      <c r="B1" s="22" t="s">
        <v>572</v>
      </c>
      <c r="C1" s="6" t="s">
        <v>567</v>
      </c>
      <c r="D1" s="6" t="s">
        <v>562</v>
      </c>
      <c r="E1" s="6" t="s">
        <v>566</v>
      </c>
      <c r="F1" s="6" t="s">
        <v>557</v>
      </c>
      <c r="G1" s="6" t="s">
        <v>559</v>
      </c>
      <c r="H1" s="6" t="s">
        <v>560</v>
      </c>
      <c r="I1" s="6" t="s">
        <v>561</v>
      </c>
      <c r="J1" s="6" t="s">
        <v>563</v>
      </c>
      <c r="K1" s="6" t="s">
        <v>565</v>
      </c>
      <c r="L1" s="6" t="s">
        <v>564</v>
      </c>
    </row>
    <row r="2" spans="1:12" x14ac:dyDescent="0.3">
      <c r="A2" s="4" t="s">
        <v>59</v>
      </c>
      <c r="B2" s="4">
        <f>C2/F2</f>
        <v>2897.2233009708739</v>
      </c>
      <c r="C2" s="10">
        <f t="shared" ref="C2:C7" si="0">D2+E2</f>
        <v>298414</v>
      </c>
      <c r="D2" s="10">
        <v>271376</v>
      </c>
      <c r="E2">
        <v>27038</v>
      </c>
      <c r="F2">
        <f>COUNTIF('Data Used - 1'!L:L,A2)+COUNTIF('Data Used - 1'!M:M,A2)+COUNTIF('Data Used - 1'!N:N,A2)</f>
        <v>103</v>
      </c>
      <c r="G2" s="10">
        <f>SUMIF('Data Used - 1'!L:L,A2,'Data Used - 1'!F:F)</f>
        <v>271376</v>
      </c>
      <c r="H2" s="10">
        <f>SUMIF('Data Used - 1'!M:M,A2,'Data Used - 1'!F:F)</f>
        <v>0</v>
      </c>
      <c r="I2" s="10">
        <f xml:space="preserve"> SUMIF('Data Used - 1'!N:N,A2,'Data Used - 1'!F:F)</f>
        <v>0</v>
      </c>
      <c r="J2">
        <f>SUMIF('Data Used - 1'!L:L,A2,'Data Used - 1'!H:H)</f>
        <v>27038</v>
      </c>
      <c r="K2">
        <f>SUMIF('Data Used - 1'!M:M,A2,'Data Used - 1'!H:H)</f>
        <v>0</v>
      </c>
      <c r="L2">
        <f>SUMIF('Data Used - 1'!N:N,A2,'Data Used - 1'!H:H)</f>
        <v>0</v>
      </c>
    </row>
    <row r="3" spans="1:12" x14ac:dyDescent="0.3">
      <c r="A3" s="4" t="s">
        <v>28</v>
      </c>
      <c r="B3" s="4">
        <f t="shared" ref="B3:B7" si="1">C3/F3</f>
        <v>1479.6448598130842</v>
      </c>
      <c r="C3" s="10">
        <f t="shared" si="0"/>
        <v>158322</v>
      </c>
      <c r="D3" s="10">
        <f>(G3+H3)/2</f>
        <v>144723</v>
      </c>
      <c r="E3">
        <f>(J3+K3)/2</f>
        <v>13599</v>
      </c>
      <c r="F3">
        <f>COUNTIF('Data Used - 1'!L:L,A3)+COUNTIF('Data Used - 1'!M:M,A3)+COUNTIF('Data Used - 1'!N:N,A3)</f>
        <v>107</v>
      </c>
      <c r="G3" s="11">
        <f>SUMIF('Data Used - 1'!L:L,A3,'Data Used - 1'!F:F)</f>
        <v>276190</v>
      </c>
      <c r="H3" s="11">
        <f>SUMIF('Data Used - 1'!M:M,A3,'Data Used - 1'!F:F)</f>
        <v>13256</v>
      </c>
      <c r="I3" s="10">
        <f xml:space="preserve"> SUMIF('Data Used - 1'!N:N,A3,'Data Used - 1'!F:F)</f>
        <v>0</v>
      </c>
      <c r="J3">
        <f>SUMIF('Data Used - 1'!L:L,A3,'Data Used - 1'!H:H)</f>
        <v>25043</v>
      </c>
      <c r="K3">
        <f>SUMIF('Data Used - 1'!M:M,A3,'Data Used - 1'!H:H)</f>
        <v>2155</v>
      </c>
      <c r="L3">
        <f>SUMIF('Data Used - 1'!N:N,A3,'Data Used - 1'!H:H)</f>
        <v>0</v>
      </c>
    </row>
    <row r="4" spans="1:12" x14ac:dyDescent="0.3">
      <c r="A4" s="4" t="s">
        <v>35</v>
      </c>
      <c r="B4" s="4">
        <f t="shared" si="1"/>
        <v>1023.251633986928</v>
      </c>
      <c r="C4" s="10">
        <f t="shared" si="0"/>
        <v>104371.66666666666</v>
      </c>
      <c r="D4" s="10">
        <f>(G4+H4+I4)/3</f>
        <v>96519.333333333328</v>
      </c>
      <c r="E4">
        <f>(J4+K4+L4)/3</f>
        <v>7852.333333333333</v>
      </c>
      <c r="F4">
        <f>COUNTIF('Data Used - 1'!L:L,A4)+COUNTIF('Data Used - 1'!M:M,A4)+COUNTIF('Data Used - 1'!N:N,A4)</f>
        <v>102</v>
      </c>
      <c r="G4" s="10">
        <f>SUMIF('Data Used - 1'!L:L,A4,'Data Used - 1'!F:F)</f>
        <v>272425</v>
      </c>
      <c r="H4" s="10">
        <f>SUMIF('Data Used - 1'!M:M,A4,'Data Used - 1'!F:F)</f>
        <v>15876</v>
      </c>
      <c r="I4" s="10">
        <f xml:space="preserve"> SUMIF('Data Used - 1'!N:N,A4,'Data Used - 1'!F:F)</f>
        <v>1257</v>
      </c>
      <c r="J4">
        <f>SUMIF('Data Used - 1'!L:L,A4,'Data Used - 1'!H:H)</f>
        <v>22770</v>
      </c>
      <c r="K4">
        <f>SUMIF('Data Used - 1'!M:M,A4,'Data Used - 1'!H:H)</f>
        <v>436</v>
      </c>
      <c r="L4">
        <f>SUMIF('Data Used - 1'!N:N,A4,'Data Used - 1'!H:H)</f>
        <v>351</v>
      </c>
    </row>
    <row r="5" spans="1:12" x14ac:dyDescent="0.3">
      <c r="A5" s="4" t="s">
        <v>552</v>
      </c>
      <c r="B5" s="4">
        <f t="shared" si="1"/>
        <v>1238.5</v>
      </c>
      <c r="C5" s="10">
        <f t="shared" si="0"/>
        <v>18577.5</v>
      </c>
      <c r="D5" s="10">
        <f>(H5+I5)/2</f>
        <v>16647</v>
      </c>
      <c r="E5">
        <f>(K5+L5)/2</f>
        <v>1930.5</v>
      </c>
      <c r="F5">
        <f>COUNTIF('Data Used - 1'!L:L,A5)+COUNTIF('Data Used - 1'!M:M,A5)+COUNTIF('Data Used - 1'!N:N,A5)</f>
        <v>15</v>
      </c>
      <c r="G5" s="10">
        <f>SUMIF('Data Used - 1'!L:L,A5,'Data Used - 1'!F:F)</f>
        <v>0</v>
      </c>
      <c r="H5" s="10">
        <f>SUMIF('Data Used - 1'!M:M,A5,'Data Used - 1'!F:F)</f>
        <v>23595</v>
      </c>
      <c r="I5" s="10">
        <f xml:space="preserve"> SUMIF('Data Used - 1'!N:N,A5,'Data Used - 1'!F:F)</f>
        <v>9699</v>
      </c>
      <c r="J5">
        <f>SUMIF('Data Used - 1'!L:L,A5,'Data Used - 1'!H:H)</f>
        <v>0</v>
      </c>
      <c r="K5">
        <f>SUMIF('Data Used - 1'!M:M,A5,'Data Used - 1'!H:H)</f>
        <v>2130</v>
      </c>
      <c r="L5">
        <f>SUMIF('Data Used - 1'!N:N,A5,'Data Used - 1'!H:H)</f>
        <v>1731</v>
      </c>
    </row>
    <row r="6" spans="1:12" x14ac:dyDescent="0.3">
      <c r="A6" s="4" t="s">
        <v>554</v>
      </c>
      <c r="B6" s="4">
        <f t="shared" si="1"/>
        <v>3411.2</v>
      </c>
      <c r="C6" s="10">
        <f t="shared" si="0"/>
        <v>17056</v>
      </c>
      <c r="D6" s="10">
        <v>15639</v>
      </c>
      <c r="E6">
        <v>1417</v>
      </c>
      <c r="F6">
        <f>COUNTIF('Data Used - 1'!L:L,A6)+COUNTIF('Data Used - 1'!M:M,A6)+COUNTIF('Data Used - 1'!N:N,A6)</f>
        <v>5</v>
      </c>
      <c r="G6" s="10">
        <f>SUMIF('Data Used - 1'!L:L,A6,'Data Used - 1'!F:F)</f>
        <v>0</v>
      </c>
      <c r="H6" s="10">
        <f>SUMIF('Data Used - 1'!M:M,A6,'Data Used - 1'!F:F)</f>
        <v>15639</v>
      </c>
      <c r="I6" s="10">
        <f xml:space="preserve"> SUMIF('Data Used - 1'!N:N,A6,'Data Used - 1'!F:F)</f>
        <v>0</v>
      </c>
      <c r="J6">
        <f>SUMIF('Data Used - 1'!L:L,A6,'Data Used - 1'!H:H)</f>
        <v>0</v>
      </c>
      <c r="K6">
        <f>SUMIF('Data Used - 1'!M:M,A6,'Data Used - 1'!H:H)</f>
        <v>1417</v>
      </c>
      <c r="L6">
        <f>SUMIF('Data Used - 1'!N:N,A6,'Data Used - 1'!H:H)</f>
        <v>0</v>
      </c>
    </row>
    <row r="7" spans="1:12" x14ac:dyDescent="0.3">
      <c r="A7" s="4" t="s">
        <v>553</v>
      </c>
      <c r="B7" s="4">
        <f t="shared" si="1"/>
        <v>1801.3571428571429</v>
      </c>
      <c r="C7" s="10">
        <f t="shared" si="0"/>
        <v>12609.5</v>
      </c>
      <c r="D7" s="10">
        <f>(H7+I7)/2</f>
        <v>12081</v>
      </c>
      <c r="E7">
        <f>(K7+L7)/2</f>
        <v>528.5</v>
      </c>
      <c r="F7">
        <f>COUNTIF('Data Used - 1'!L:L,A7)+COUNTIF('Data Used - 1'!M:M,A7)+COUNTIF('Data Used - 1'!N:N,A7)</f>
        <v>7</v>
      </c>
      <c r="G7" s="10">
        <f>SUMIF('Data Used - 1'!L:L,A7,'Data Used - 1'!F:F)</f>
        <v>0</v>
      </c>
      <c r="H7" s="10">
        <f>SUMIF('Data Used - 1'!M:M,A7,'Data Used - 1'!F:F)</f>
        <v>8286</v>
      </c>
      <c r="I7" s="10">
        <f xml:space="preserve"> SUMIF('Data Used - 1'!N:N,A7,'Data Used - 1'!F:F)</f>
        <v>15876</v>
      </c>
      <c r="J7">
        <f>SUMIF('Data Used - 1'!L:L,A7,'Data Used - 1'!H:H)</f>
        <v>0</v>
      </c>
      <c r="K7">
        <f>SUMIF('Data Used - 1'!M:M,A7,'Data Used - 1'!H:H)</f>
        <v>621</v>
      </c>
      <c r="L7">
        <f>SUMIF('Data Used - 1'!N:N,A7,'Data Used - 1'!H:H)</f>
        <v>436</v>
      </c>
    </row>
    <row r="8" spans="1:12" x14ac:dyDescent="0.3">
      <c r="D8" s="10"/>
      <c r="G8" s="10"/>
      <c r="H8" s="10"/>
      <c r="I8" s="10"/>
    </row>
  </sheetData>
  <sortState xmlns:xlrd2="http://schemas.microsoft.com/office/spreadsheetml/2017/richdata2" ref="A2:L9">
    <sortCondition descending="1" ref="C1:C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C2B66-BFE2-485D-8AA5-A38AE73C740B}">
  <dimension ref="A3:E9"/>
  <sheetViews>
    <sheetView workbookViewId="0">
      <selection activeCell="F22" sqref="F22"/>
    </sheetView>
  </sheetViews>
  <sheetFormatPr defaultRowHeight="14.4" x14ac:dyDescent="0.3"/>
  <cols>
    <col min="1" max="1" width="21.77734375" bestFit="1" customWidth="1"/>
    <col min="2" max="2" width="14.5546875" bestFit="1" customWidth="1"/>
    <col min="3" max="3" width="6.21875" bestFit="1" customWidth="1"/>
    <col min="4" max="4" width="5.88671875" bestFit="1" customWidth="1"/>
    <col min="5" max="5" width="10.77734375" bestFit="1" customWidth="1"/>
    <col min="6" max="6" width="21.77734375" bestFit="1" customWidth="1"/>
    <col min="7" max="7" width="26.5546875" bestFit="1" customWidth="1"/>
    <col min="8" max="8" width="21" bestFit="1" customWidth="1"/>
  </cols>
  <sheetData>
    <row r="3" spans="1:5" x14ac:dyDescent="0.3">
      <c r="A3" s="19" t="s">
        <v>571</v>
      </c>
      <c r="B3" s="21" t="s">
        <v>3</v>
      </c>
    </row>
    <row r="4" spans="1:5" x14ac:dyDescent="0.3">
      <c r="A4" s="19" t="s">
        <v>1</v>
      </c>
      <c r="B4" t="s">
        <v>42</v>
      </c>
      <c r="C4" t="s">
        <v>49</v>
      </c>
      <c r="D4" t="s">
        <v>71</v>
      </c>
      <c r="E4" t="s">
        <v>570</v>
      </c>
    </row>
    <row r="5" spans="1:5" x14ac:dyDescent="0.3">
      <c r="A5" s="20" t="s">
        <v>40</v>
      </c>
      <c r="B5" s="10">
        <v>0.12725513213882148</v>
      </c>
      <c r="C5" s="10">
        <v>0.16666321146852681</v>
      </c>
      <c r="D5" s="10">
        <v>0.15233235428324327</v>
      </c>
      <c r="E5" s="10">
        <v>0.15266612619820089</v>
      </c>
    </row>
    <row r="6" spans="1:5" x14ac:dyDescent="0.3">
      <c r="A6" s="20" t="s">
        <v>31</v>
      </c>
      <c r="B6" s="10">
        <v>0.15327941616142238</v>
      </c>
      <c r="C6" s="10">
        <v>0.13514318843810028</v>
      </c>
      <c r="D6" s="10">
        <v>0.12301972428253292</v>
      </c>
      <c r="E6" s="10">
        <v>0.13647500536337659</v>
      </c>
    </row>
    <row r="7" spans="1:5" x14ac:dyDescent="0.3">
      <c r="A7" s="20" t="s">
        <v>14</v>
      </c>
      <c r="B7" s="10">
        <v>1.1151479655870631</v>
      </c>
      <c r="C7" s="10">
        <v>0.19384066064498404</v>
      </c>
      <c r="D7" s="10">
        <v>0.25298110386603534</v>
      </c>
      <c r="E7" s="10">
        <v>0.62719534184738401</v>
      </c>
    </row>
    <row r="8" spans="1:5" x14ac:dyDescent="0.3">
      <c r="A8" s="20" t="s">
        <v>25</v>
      </c>
      <c r="B8" s="10">
        <v>0.2219984364356643</v>
      </c>
      <c r="C8" s="10">
        <v>0.10407777235429815</v>
      </c>
      <c r="D8" s="10">
        <v>0.14709031334877246</v>
      </c>
      <c r="E8" s="10">
        <v>0.1621550197282739</v>
      </c>
    </row>
    <row r="9" spans="1:5" x14ac:dyDescent="0.3">
      <c r="A9" s="20" t="s">
        <v>570</v>
      </c>
      <c r="B9" s="10">
        <v>0.5194612111124316</v>
      </c>
      <c r="C9" s="10">
        <v>0.15755126446083342</v>
      </c>
      <c r="D9" s="10">
        <v>0.16139417516286014</v>
      </c>
      <c r="E9" s="10">
        <v>0.28796297362829676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A3E6A-8995-4F8B-8DCE-50836B5A562E}">
  <dimension ref="A1:F301"/>
  <sheetViews>
    <sheetView zoomScaleNormal="100" workbookViewId="0">
      <selection activeCell="F1" sqref="F1:F1048576"/>
    </sheetView>
  </sheetViews>
  <sheetFormatPr defaultRowHeight="15.6" x14ac:dyDescent="0.3"/>
  <cols>
    <col min="1" max="1" width="8.6640625" style="16" customWidth="1"/>
    <col min="2" max="3" width="8.6640625" customWidth="1"/>
    <col min="4" max="4" width="20" style="16" customWidth="1"/>
    <col min="5" max="5" width="10.109375" style="16" bestFit="1" customWidth="1"/>
    <col min="6" max="6" width="12.88671875" bestFit="1" customWidth="1"/>
    <col min="11" max="11" width="11.88671875" bestFit="1" customWidth="1"/>
    <col min="12" max="12" width="15.5546875" bestFit="1" customWidth="1"/>
  </cols>
  <sheetData>
    <row r="1" spans="1:6" ht="28.8" x14ac:dyDescent="0.3">
      <c r="A1" s="18" t="s">
        <v>0</v>
      </c>
      <c r="B1" s="2" t="s">
        <v>1</v>
      </c>
      <c r="C1" s="2" t="s">
        <v>3</v>
      </c>
      <c r="D1" s="17" t="s">
        <v>568</v>
      </c>
      <c r="E1" s="15" t="s">
        <v>569</v>
      </c>
      <c r="F1" s="15" t="s">
        <v>567</v>
      </c>
    </row>
    <row r="2" spans="1:6" x14ac:dyDescent="0.3">
      <c r="A2" s="16" t="s">
        <v>172</v>
      </c>
      <c r="B2" s="3" t="s">
        <v>14</v>
      </c>
      <c r="C2" s="3" t="s">
        <v>42</v>
      </c>
      <c r="D2" s="12">
        <f>('Data Used - 1'!F63+'Data Used - 1'!G63+'Data Used - 1'!H63)/'Data Used - 1'!I63</f>
        <v>0.53773584905660377</v>
      </c>
      <c r="E2" s="12">
        <f>'Data Used - 1'!K63/'Data Used - 1'!J63</f>
        <v>21.142857142857142</v>
      </c>
      <c r="F2" s="10">
        <f>D2+E2</f>
        <v>21.680592991913745</v>
      </c>
    </row>
    <row r="3" spans="1:6" x14ac:dyDescent="0.3">
      <c r="A3" s="16" t="s">
        <v>431</v>
      </c>
      <c r="B3" s="3" t="s">
        <v>14</v>
      </c>
      <c r="C3" s="3" t="s">
        <v>33</v>
      </c>
      <c r="D3" s="12">
        <f>('Data Used - 1'!F221+'Data Used - 1'!G221+'Data Used - 1'!H221)/'Data Used - 1'!I221</f>
        <v>1.8129251700680271</v>
      </c>
      <c r="E3" s="12">
        <f>'Data Used - 1'!K221/'Data Used - 1'!J221</f>
        <v>1.5</v>
      </c>
      <c r="F3" s="10">
        <f>D3+E3</f>
        <v>3.3129251700680271</v>
      </c>
    </row>
    <row r="4" spans="1:6" x14ac:dyDescent="0.3">
      <c r="A4" s="16" t="s">
        <v>164</v>
      </c>
      <c r="B4" s="3" t="s">
        <v>31</v>
      </c>
      <c r="C4" s="3" t="s">
        <v>16</v>
      </c>
      <c r="D4" s="12">
        <f>('Data Used - 1'!F59+'Data Used - 1'!G59+'Data Used - 1'!H59)/'Data Used - 1'!I59</f>
        <v>0.86601941747572819</v>
      </c>
      <c r="E4" s="12">
        <f>'Data Used - 1'!K59/'Data Used - 1'!J59</f>
        <v>0.63902439024390245</v>
      </c>
      <c r="F4" s="10">
        <f>D4+E4</f>
        <v>1.5050438077196306</v>
      </c>
    </row>
    <row r="5" spans="1:6" x14ac:dyDescent="0.3">
      <c r="A5" s="16" t="s">
        <v>496</v>
      </c>
      <c r="B5" s="3" t="s">
        <v>14</v>
      </c>
      <c r="C5" s="3" t="s">
        <v>49</v>
      </c>
      <c r="D5" s="12">
        <f>('Data Used - 1'!F265+'Data Used - 1'!G265+'Data Used - 1'!H265)/'Data Used - 1'!I265</f>
        <v>0.53389830508474578</v>
      </c>
      <c r="E5" s="12">
        <f>'Data Used - 1'!K265/'Data Used - 1'!J265</f>
        <v>0.61684210526315786</v>
      </c>
      <c r="F5" s="10">
        <f>D5+E5</f>
        <v>1.1507404103479035</v>
      </c>
    </row>
    <row r="6" spans="1:6" x14ac:dyDescent="0.3">
      <c r="A6" s="16" t="s">
        <v>369</v>
      </c>
      <c r="B6" s="3" t="s">
        <v>14</v>
      </c>
      <c r="C6" s="3" t="s">
        <v>71</v>
      </c>
      <c r="D6" s="12">
        <f>('Data Used - 1'!F179+'Data Used - 1'!G179+'Data Used - 1'!H179)/'Data Used - 1'!I179</f>
        <v>0.70387596899224802</v>
      </c>
      <c r="E6" s="12">
        <f>'Data Used - 1'!K179/'Data Used - 1'!J179</f>
        <v>0.28367103694874851</v>
      </c>
      <c r="F6" s="10">
        <f>D6+E6</f>
        <v>0.98754700594099654</v>
      </c>
    </row>
    <row r="7" spans="1:6" x14ac:dyDescent="0.3">
      <c r="A7" s="16" t="s">
        <v>448</v>
      </c>
      <c r="B7" s="3" t="s">
        <v>40</v>
      </c>
      <c r="C7" s="3" t="s">
        <v>33</v>
      </c>
      <c r="D7" s="12">
        <f>('Data Used - 1'!F233+'Data Used - 1'!G233+'Data Used - 1'!H233)/'Data Used - 1'!I233</f>
        <v>0.7168674698795181</v>
      </c>
      <c r="E7" s="12">
        <f>'Data Used - 1'!K233/'Data Used - 1'!J233</f>
        <v>0.19252873563218389</v>
      </c>
      <c r="F7" s="10">
        <f>D7+E7</f>
        <v>0.90939620551170197</v>
      </c>
    </row>
    <row r="8" spans="1:6" x14ac:dyDescent="0.3">
      <c r="A8" s="16" t="s">
        <v>312</v>
      </c>
      <c r="B8" s="3" t="s">
        <v>25</v>
      </c>
      <c r="C8" s="3" t="s">
        <v>42</v>
      </c>
      <c r="D8" s="12">
        <f>('Data Used - 1'!F144+'Data Used - 1'!G144+'Data Used - 1'!H144)/'Data Used - 1'!I144</f>
        <v>0.50192307692307692</v>
      </c>
      <c r="E8" s="12">
        <f>'Data Used - 1'!K144/'Data Used - 1'!J144</f>
        <v>0.33524355300859598</v>
      </c>
      <c r="F8" s="10">
        <f>D8+E8</f>
        <v>0.8371666299316729</v>
      </c>
    </row>
    <row r="9" spans="1:6" x14ac:dyDescent="0.3">
      <c r="A9" s="16" t="s">
        <v>363</v>
      </c>
      <c r="B9" s="3" t="s">
        <v>31</v>
      </c>
      <c r="C9" s="3" t="s">
        <v>16</v>
      </c>
      <c r="D9" s="12">
        <f>('Data Used - 1'!F176+'Data Used - 1'!G176+'Data Used - 1'!H176)/'Data Used - 1'!I176</f>
        <v>0.6508215962441315</v>
      </c>
      <c r="E9" s="12">
        <f>'Data Used - 1'!K176/'Data Used - 1'!J176</f>
        <v>0.15477386934673368</v>
      </c>
      <c r="F9" s="10">
        <f>D9+E9</f>
        <v>0.80559546559086515</v>
      </c>
    </row>
    <row r="10" spans="1:6" x14ac:dyDescent="0.3">
      <c r="A10" s="16" t="s">
        <v>418</v>
      </c>
      <c r="B10" s="3" t="s">
        <v>14</v>
      </c>
      <c r="C10" s="3" t="s">
        <v>49</v>
      </c>
      <c r="D10" s="12">
        <f>('Data Used - 1'!F211+'Data Used - 1'!G211+'Data Used - 1'!H211)/'Data Used - 1'!I211</f>
        <v>0.48518407662376534</v>
      </c>
      <c r="E10" s="12">
        <f>'Data Used - 1'!K211/'Data Used - 1'!J211</f>
        <v>0.10424990918997458</v>
      </c>
      <c r="F10" s="10">
        <f>D10+E10</f>
        <v>0.58943398581373996</v>
      </c>
    </row>
    <row r="11" spans="1:6" x14ac:dyDescent="0.3">
      <c r="A11" s="16" t="s">
        <v>424</v>
      </c>
      <c r="B11" s="3" t="s">
        <v>40</v>
      </c>
      <c r="C11" s="3" t="s">
        <v>49</v>
      </c>
      <c r="D11" s="12">
        <f>('Data Used - 1'!F215+'Data Used - 1'!G215+'Data Used - 1'!H215)/'Data Used - 1'!I215</f>
        <v>0.37955854126679461</v>
      </c>
      <c r="E11" s="12">
        <f>'Data Used - 1'!K215/'Data Used - 1'!J215</f>
        <v>8.2965578111209179E-2</v>
      </c>
      <c r="F11" s="10">
        <f>D11+E11</f>
        <v>0.46252411937800381</v>
      </c>
    </row>
    <row r="12" spans="1:6" x14ac:dyDescent="0.3">
      <c r="A12" s="16" t="s">
        <v>244</v>
      </c>
      <c r="B12" s="3" t="s">
        <v>14</v>
      </c>
      <c r="C12" s="3" t="s">
        <v>16</v>
      </c>
      <c r="D12" s="12">
        <f>('Data Used - 1'!F103+'Data Used - 1'!G103+'Data Used - 1'!H103)/'Data Used - 1'!I103</f>
        <v>0.35666666666666669</v>
      </c>
      <c r="E12" s="12">
        <f>'Data Used - 1'!K103/'Data Used - 1'!J103</f>
        <v>4.2712124114154378E-2</v>
      </c>
      <c r="F12" s="10">
        <f>D12+E12</f>
        <v>0.39937879078082106</v>
      </c>
    </row>
    <row r="13" spans="1:6" x14ac:dyDescent="0.3">
      <c r="A13" s="16" t="s">
        <v>186</v>
      </c>
      <c r="B13" s="3" t="s">
        <v>14</v>
      </c>
      <c r="C13" s="3" t="s">
        <v>71</v>
      </c>
      <c r="D13" s="12">
        <f>('Data Used - 1'!F71+'Data Used - 1'!G71+'Data Used - 1'!H71)/'Data Used - 1'!I71</f>
        <v>0.38274706867671693</v>
      </c>
      <c r="E13" s="12">
        <f>'Data Used - 1'!K71/'Data Used - 1'!J71</f>
        <v>1.4390896921017403E-2</v>
      </c>
      <c r="F13" s="10">
        <f>D13+E13</f>
        <v>0.39713796559773434</v>
      </c>
    </row>
    <row r="14" spans="1:6" x14ac:dyDescent="0.3">
      <c r="A14" s="16" t="s">
        <v>107</v>
      </c>
      <c r="B14" s="3" t="s">
        <v>14</v>
      </c>
      <c r="C14" s="3" t="s">
        <v>21</v>
      </c>
      <c r="D14" s="12">
        <f>('Data Used - 1'!F32+'Data Used - 1'!G32+'Data Used - 1'!H32)/'Data Used - 1'!I32</f>
        <v>0.28245270711024134</v>
      </c>
      <c r="E14" s="12">
        <f>'Data Used - 1'!K32/'Data Used - 1'!J32</f>
        <v>0.10440577563865235</v>
      </c>
      <c r="F14" s="10">
        <f>D14+E14</f>
        <v>0.38685848274889367</v>
      </c>
    </row>
    <row r="15" spans="1:6" x14ac:dyDescent="0.3">
      <c r="A15" s="16" t="s">
        <v>155</v>
      </c>
      <c r="B15" s="3" t="s">
        <v>14</v>
      </c>
      <c r="C15" s="3" t="s">
        <v>42</v>
      </c>
      <c r="D15" s="12">
        <f>('Data Used - 1'!F54+'Data Used - 1'!G54+'Data Used - 1'!H54)/'Data Used - 1'!I54</f>
        <v>0.36965174129353234</v>
      </c>
      <c r="E15" s="12">
        <f>'Data Used - 1'!K54/'Data Used - 1'!J54</f>
        <v>3.4987277353689568E-3</v>
      </c>
      <c r="F15" s="10">
        <f>D15+E15</f>
        <v>0.37315046902890131</v>
      </c>
    </row>
    <row r="16" spans="1:6" x14ac:dyDescent="0.3">
      <c r="A16" s="16" t="s">
        <v>179</v>
      </c>
      <c r="B16" s="3" t="s">
        <v>40</v>
      </c>
      <c r="C16" s="3" t="s">
        <v>42</v>
      </c>
      <c r="D16" s="12">
        <f>('Data Used - 1'!F67+'Data Used - 1'!G67+'Data Used - 1'!H67)/'Data Used - 1'!I67</f>
        <v>0.29199735449735448</v>
      </c>
      <c r="E16" s="12">
        <f>'Data Used - 1'!K67/'Data Used - 1'!J67</f>
        <v>8.0525164113785561E-2</v>
      </c>
      <c r="F16" s="10">
        <f>D16+E16</f>
        <v>0.37252251861114005</v>
      </c>
    </row>
    <row r="17" spans="1:6" x14ac:dyDescent="0.3">
      <c r="A17" s="16" t="s">
        <v>436</v>
      </c>
      <c r="B17" s="3" t="s">
        <v>40</v>
      </c>
      <c r="C17" s="3" t="s">
        <v>49</v>
      </c>
      <c r="D17" s="12">
        <f>('Data Used - 1'!F225+'Data Used - 1'!G225+'Data Used - 1'!H225)/'Data Used - 1'!I225</f>
        <v>0.32083531086853345</v>
      </c>
      <c r="E17" s="12">
        <f>'Data Used - 1'!K225/'Data Used - 1'!J225</f>
        <v>4.8765982753493906E-2</v>
      </c>
      <c r="F17" s="10">
        <f>D17+E17</f>
        <v>0.36960129362202737</v>
      </c>
    </row>
    <row r="18" spans="1:6" x14ac:dyDescent="0.3">
      <c r="A18" s="16" t="s">
        <v>280</v>
      </c>
      <c r="B18" s="3" t="s">
        <v>40</v>
      </c>
      <c r="C18" s="3" t="s">
        <v>33</v>
      </c>
      <c r="D18" s="12">
        <f>('Data Used - 1'!F122+'Data Used - 1'!G122+'Data Used - 1'!H122)/'Data Used - 1'!I122</f>
        <v>0.32349397590361445</v>
      </c>
      <c r="E18" s="12">
        <f>'Data Used - 1'!K122/'Data Used - 1'!J122</f>
        <v>4.4205495818399047E-2</v>
      </c>
      <c r="F18" s="10">
        <f>D18+E18</f>
        <v>0.3676994717220135</v>
      </c>
    </row>
    <row r="19" spans="1:6" x14ac:dyDescent="0.3">
      <c r="A19" s="16" t="s">
        <v>283</v>
      </c>
      <c r="B19" s="3" t="s">
        <v>25</v>
      </c>
      <c r="C19" s="3" t="s">
        <v>42</v>
      </c>
      <c r="D19" s="12">
        <f>('Data Used - 1'!F125+'Data Used - 1'!G125+'Data Used - 1'!H125)/'Data Used - 1'!I125</f>
        <v>0.33618012422360249</v>
      </c>
      <c r="E19" s="12">
        <f>'Data Used - 1'!K125/'Data Used - 1'!J125</f>
        <v>4.0373990650233744E-3</v>
      </c>
      <c r="F19" s="10">
        <f>D19+E19</f>
        <v>0.34021752328862587</v>
      </c>
    </row>
    <row r="20" spans="1:6" x14ac:dyDescent="0.3">
      <c r="A20" s="16" t="s">
        <v>375</v>
      </c>
      <c r="B20" s="3" t="s">
        <v>14</v>
      </c>
      <c r="C20" s="3" t="s">
        <v>33</v>
      </c>
      <c r="D20" s="12">
        <f>('Data Used - 1'!F184+'Data Used - 1'!G184+'Data Used - 1'!H184)/'Data Used - 1'!I184</f>
        <v>0.28696581196581195</v>
      </c>
      <c r="E20" s="12">
        <f>'Data Used - 1'!K184/'Data Used - 1'!J184</f>
        <v>4.8125867653863952E-2</v>
      </c>
      <c r="F20" s="10">
        <f>D20+E20</f>
        <v>0.3350916796196759</v>
      </c>
    </row>
    <row r="21" spans="1:6" x14ac:dyDescent="0.3">
      <c r="A21" s="16" t="s">
        <v>277</v>
      </c>
      <c r="B21" s="3" t="s">
        <v>40</v>
      </c>
      <c r="C21" s="3" t="s">
        <v>16</v>
      </c>
      <c r="D21" s="12">
        <f>('Data Used - 1'!F120+'Data Used - 1'!G120+'Data Used - 1'!H120)/'Data Used - 1'!I120</f>
        <v>0.31705583756345179</v>
      </c>
      <c r="E21" s="12">
        <f>'Data Used - 1'!K120/'Data Used - 1'!J120</f>
        <v>1.3110712684894665E-2</v>
      </c>
      <c r="F21" s="10">
        <f>D21+E21</f>
        <v>0.33016655024834646</v>
      </c>
    </row>
    <row r="22" spans="1:6" x14ac:dyDescent="0.3">
      <c r="A22" s="16" t="s">
        <v>328</v>
      </c>
      <c r="B22" s="3" t="s">
        <v>14</v>
      </c>
      <c r="C22" s="3" t="s">
        <v>42</v>
      </c>
      <c r="D22" s="12">
        <f>('Data Used - 1'!F155+'Data Used - 1'!G155+'Data Used - 1'!H155)/'Data Used - 1'!I155</f>
        <v>0.31965192168237855</v>
      </c>
      <c r="E22" s="12">
        <f>'Data Used - 1'!K155/'Data Used - 1'!J155</f>
        <v>9.4716590202752696E-3</v>
      </c>
      <c r="F22" s="10">
        <f>D22+E22</f>
        <v>0.3291235807026538</v>
      </c>
    </row>
    <row r="23" spans="1:6" x14ac:dyDescent="0.3">
      <c r="A23" s="16" t="s">
        <v>410</v>
      </c>
      <c r="B23" s="3" t="s">
        <v>25</v>
      </c>
      <c r="C23" s="3" t="s">
        <v>42</v>
      </c>
      <c r="D23" s="12">
        <f>('Data Used - 1'!F205+'Data Used - 1'!G205+'Data Used - 1'!H205)/'Data Used - 1'!I205</f>
        <v>0.29713518352730528</v>
      </c>
      <c r="E23" s="12">
        <f>'Data Used - 1'!K205/'Data Used - 1'!J205</f>
        <v>1.8734033494181096E-2</v>
      </c>
      <c r="F23" s="10">
        <f>D23+E23</f>
        <v>0.3158692170214864</v>
      </c>
    </row>
    <row r="24" spans="1:6" x14ac:dyDescent="0.3">
      <c r="A24" s="16" t="s">
        <v>473</v>
      </c>
      <c r="B24" s="3" t="s">
        <v>14</v>
      </c>
      <c r="C24" s="3" t="s">
        <v>33</v>
      </c>
      <c r="D24" s="12">
        <f>('Data Used - 1'!F249+'Data Used - 1'!G249+'Data Used - 1'!H249)/'Data Used - 1'!I249</f>
        <v>0.26297968397291194</v>
      </c>
      <c r="E24" s="12">
        <f>'Data Used - 1'!K249/'Data Used - 1'!J249</f>
        <v>5.2514243249938072E-2</v>
      </c>
      <c r="F24" s="10">
        <f>D24+E24</f>
        <v>0.31549392722285002</v>
      </c>
    </row>
    <row r="25" spans="1:6" x14ac:dyDescent="0.3">
      <c r="A25" s="16" t="s">
        <v>531</v>
      </c>
      <c r="B25" s="3" t="s">
        <v>40</v>
      </c>
      <c r="C25" s="3" t="s">
        <v>16</v>
      </c>
      <c r="D25" s="12">
        <f>('Data Used - 1'!F288+'Data Used - 1'!G288+'Data Used - 1'!H288)/'Data Used - 1'!I288</f>
        <v>0.30126002290950743</v>
      </c>
      <c r="E25" s="12">
        <f>'Data Used - 1'!K288/'Data Used - 1'!J288</f>
        <v>1.2356841470765521E-2</v>
      </c>
      <c r="F25" s="10">
        <f>D25+E25</f>
        <v>0.31361686438027297</v>
      </c>
    </row>
    <row r="26" spans="1:6" x14ac:dyDescent="0.3">
      <c r="A26" s="16" t="s">
        <v>430</v>
      </c>
      <c r="B26" s="3" t="s">
        <v>14</v>
      </c>
      <c r="C26" s="3" t="s">
        <v>16</v>
      </c>
      <c r="D26" s="12">
        <f>('Data Used - 1'!F220+'Data Used - 1'!G220+'Data Used - 1'!H220)/'Data Used - 1'!I220</f>
        <v>0.25701459034792368</v>
      </c>
      <c r="E26" s="12">
        <f>'Data Used - 1'!K220/'Data Used - 1'!J220</f>
        <v>4.3938161106590726E-2</v>
      </c>
      <c r="F26" s="10">
        <f>D26+E26</f>
        <v>0.30095275145451439</v>
      </c>
    </row>
    <row r="27" spans="1:6" x14ac:dyDescent="0.3">
      <c r="A27" s="16" t="s">
        <v>229</v>
      </c>
      <c r="B27" s="3" t="s">
        <v>31</v>
      </c>
      <c r="C27" s="3" t="s">
        <v>71</v>
      </c>
      <c r="D27" s="12">
        <f>('Data Used - 1'!F94+'Data Used - 1'!G94+'Data Used - 1'!H94)/'Data Used - 1'!I94</f>
        <v>0.28045655718611695</v>
      </c>
      <c r="E27" s="12">
        <f>'Data Used - 1'!K94/'Data Used - 1'!J94</f>
        <v>1.7865650309671272E-2</v>
      </c>
      <c r="F27" s="10">
        <f>D27+E27</f>
        <v>0.29832220749578819</v>
      </c>
    </row>
    <row r="28" spans="1:6" x14ac:dyDescent="0.3">
      <c r="A28" s="16" t="s">
        <v>488</v>
      </c>
      <c r="B28" s="3" t="s">
        <v>31</v>
      </c>
      <c r="C28" s="3" t="s">
        <v>21</v>
      </c>
      <c r="D28" s="12">
        <f>('Data Used - 1'!F260+'Data Used - 1'!G260+'Data Used - 1'!H260)/'Data Used - 1'!I260</f>
        <v>0.25771055753262156</v>
      </c>
      <c r="E28" s="12">
        <f>'Data Used - 1'!K260/'Data Used - 1'!J260</f>
        <v>3.1632653061224487E-2</v>
      </c>
      <c r="F28" s="10">
        <f>D28+E28</f>
        <v>0.28934321059384605</v>
      </c>
    </row>
    <row r="29" spans="1:6" x14ac:dyDescent="0.3">
      <c r="A29" s="16" t="s">
        <v>494</v>
      </c>
      <c r="B29" s="3" t="s">
        <v>40</v>
      </c>
      <c r="C29" s="3" t="s">
        <v>16</v>
      </c>
      <c r="D29" s="12">
        <f>('Data Used - 1'!F264+'Data Used - 1'!G264+'Data Used - 1'!H264)/'Data Used - 1'!I264</f>
        <v>0.26876680752977333</v>
      </c>
      <c r="E29" s="12">
        <f>'Data Used - 1'!K264/'Data Used - 1'!J264</f>
        <v>1.6488046166529267E-3</v>
      </c>
      <c r="F29" s="10">
        <f>D29+E29</f>
        <v>0.27041561214642623</v>
      </c>
    </row>
    <row r="30" spans="1:6" x14ac:dyDescent="0.3">
      <c r="A30" s="16" t="s">
        <v>439</v>
      </c>
      <c r="B30" s="3" t="s">
        <v>14</v>
      </c>
      <c r="C30" s="3" t="s">
        <v>42</v>
      </c>
      <c r="D30" s="12">
        <f>('Data Used - 1'!F227+'Data Used - 1'!G227+'Data Used - 1'!H227)/'Data Used - 1'!I227</f>
        <v>0.25537047673750718</v>
      </c>
      <c r="E30" s="12">
        <f>'Data Used - 1'!K227/'Data Used - 1'!J227</f>
        <v>1.4627659574468085E-2</v>
      </c>
      <c r="F30" s="10">
        <f>D30+E30</f>
        <v>0.26999813631197528</v>
      </c>
    </row>
    <row r="31" spans="1:6" x14ac:dyDescent="0.3">
      <c r="A31" s="16" t="s">
        <v>372</v>
      </c>
      <c r="B31" s="3" t="s">
        <v>40</v>
      </c>
      <c r="C31" s="3" t="s">
        <v>49</v>
      </c>
      <c r="D31" s="12">
        <f>('Data Used - 1'!F182+'Data Used - 1'!G182+'Data Used - 1'!H182)/'Data Used - 1'!I182</f>
        <v>0.23673521198273673</v>
      </c>
      <c r="E31" s="12">
        <f>'Data Used - 1'!K182/'Data Used - 1'!J182</f>
        <v>3.2345378264988497E-2</v>
      </c>
      <c r="F31" s="10">
        <f>D31+E31</f>
        <v>0.26908059024772524</v>
      </c>
    </row>
    <row r="32" spans="1:6" x14ac:dyDescent="0.3">
      <c r="A32" s="16" t="s">
        <v>469</v>
      </c>
      <c r="B32" s="3" t="s">
        <v>40</v>
      </c>
      <c r="C32" s="3" t="s">
        <v>49</v>
      </c>
      <c r="D32" s="12">
        <f>('Data Used - 1'!F247+'Data Used - 1'!G247+'Data Used - 1'!H247)/'Data Used - 1'!I247</f>
        <v>0.23656250000000001</v>
      </c>
      <c r="E32" s="12">
        <f>'Data Used - 1'!K247/'Data Used - 1'!J247</f>
        <v>2.9239766081871343E-2</v>
      </c>
      <c r="F32" s="10">
        <f>D32+E32</f>
        <v>0.26580226608187135</v>
      </c>
    </row>
    <row r="33" spans="1:6" x14ac:dyDescent="0.3">
      <c r="A33" s="16" t="s">
        <v>465</v>
      </c>
      <c r="B33" s="3" t="s">
        <v>40</v>
      </c>
      <c r="C33" s="3" t="s">
        <v>71</v>
      </c>
      <c r="D33" s="12">
        <f>('Data Used - 1'!F245+'Data Used - 1'!G245+'Data Used - 1'!H245)/'Data Used - 1'!I245</f>
        <v>0.25869984981763572</v>
      </c>
      <c r="E33" s="12">
        <f>'Data Used - 1'!K245/'Data Used - 1'!J245</f>
        <v>2.7897090731966523E-3</v>
      </c>
      <c r="F33" s="10">
        <f>D33+E33</f>
        <v>0.26148955889083236</v>
      </c>
    </row>
    <row r="34" spans="1:6" x14ac:dyDescent="0.3">
      <c r="A34" s="16" t="s">
        <v>516</v>
      </c>
      <c r="B34" s="3" t="s">
        <v>40</v>
      </c>
      <c r="C34" s="3" t="s">
        <v>49</v>
      </c>
      <c r="D34" s="12">
        <f>('Data Used - 1'!F278+'Data Used - 1'!G278+'Data Used - 1'!H278)/'Data Used - 1'!I278</f>
        <v>0.24763928234183191</v>
      </c>
      <c r="E34" s="12">
        <f>'Data Used - 1'!K278/'Data Used - 1'!J278</f>
        <v>1.1600701891206863E-2</v>
      </c>
      <c r="F34" s="10">
        <f>D34+E34</f>
        <v>0.25923998423303879</v>
      </c>
    </row>
    <row r="35" spans="1:6" x14ac:dyDescent="0.3">
      <c r="A35" s="16" t="s">
        <v>498</v>
      </c>
      <c r="B35" s="3" t="s">
        <v>31</v>
      </c>
      <c r="C35" s="3" t="s">
        <v>42</v>
      </c>
      <c r="D35" s="12">
        <f>('Data Used - 1'!F266+'Data Used - 1'!G266+'Data Used - 1'!H266)/'Data Used - 1'!I266</f>
        <v>0.25279701651571657</v>
      </c>
      <c r="E35" s="12">
        <f>'Data Used - 1'!K266/'Data Used - 1'!J266</f>
        <v>3.738488191848272E-3</v>
      </c>
      <c r="F35" s="10">
        <f>D35+E35</f>
        <v>0.25653550470756487</v>
      </c>
    </row>
    <row r="36" spans="1:6" x14ac:dyDescent="0.3">
      <c r="A36" s="16" t="s">
        <v>458</v>
      </c>
      <c r="B36" s="3" t="s">
        <v>40</v>
      </c>
      <c r="C36" s="3" t="s">
        <v>21</v>
      </c>
      <c r="D36" s="12">
        <f>('Data Used - 1'!F240+'Data Used - 1'!G240+'Data Used - 1'!H240)/'Data Used - 1'!I240</f>
        <v>0.25062082139446035</v>
      </c>
      <c r="E36" s="12">
        <f>'Data Used - 1'!K240/'Data Used - 1'!J240</f>
        <v>4.9826583948024035E-3</v>
      </c>
      <c r="F36" s="10">
        <f>D36+E36</f>
        <v>0.25560347978926273</v>
      </c>
    </row>
    <row r="37" spans="1:6" x14ac:dyDescent="0.3">
      <c r="A37" s="16" t="s">
        <v>547</v>
      </c>
      <c r="B37" s="3" t="s">
        <v>25</v>
      </c>
      <c r="C37" s="3" t="s">
        <v>21</v>
      </c>
      <c r="D37" s="12">
        <f>('Data Used - 1'!F298+'Data Used - 1'!G298+'Data Used - 1'!H298)/'Data Used - 1'!I298</f>
        <v>0.24349030470914126</v>
      </c>
      <c r="E37" s="12">
        <f>'Data Used - 1'!K298/'Data Used - 1'!J298</f>
        <v>2.342606149341142E-3</v>
      </c>
      <c r="F37" s="10">
        <f>D37+E37</f>
        <v>0.24583291085848241</v>
      </c>
    </row>
    <row r="38" spans="1:6" x14ac:dyDescent="0.3">
      <c r="A38" s="16" t="s">
        <v>279</v>
      </c>
      <c r="B38" s="3" t="s">
        <v>31</v>
      </c>
      <c r="C38" s="3" t="s">
        <v>33</v>
      </c>
      <c r="D38" s="12">
        <f>('Data Used - 1'!F121+'Data Used - 1'!G121+'Data Used - 1'!H121)/'Data Used - 1'!I121</f>
        <v>0.23414918414918415</v>
      </c>
      <c r="E38" s="12">
        <f>'Data Used - 1'!K121/'Data Used - 1'!J121</f>
        <v>1.1260982551664397E-2</v>
      </c>
      <c r="F38" s="10">
        <f>D38+E38</f>
        <v>0.24541016670084853</v>
      </c>
    </row>
    <row r="39" spans="1:6" x14ac:dyDescent="0.3">
      <c r="A39" s="16" t="s">
        <v>309</v>
      </c>
      <c r="B39" s="3" t="s">
        <v>31</v>
      </c>
      <c r="C39" s="3" t="s">
        <v>49</v>
      </c>
      <c r="D39" s="12">
        <f>('Data Used - 1'!F142+'Data Used - 1'!G142+'Data Used - 1'!H142)/'Data Used - 1'!I142</f>
        <v>0.2316508937960042</v>
      </c>
      <c r="E39" s="12">
        <f>'Data Used - 1'!K142/'Data Used - 1'!J142</f>
        <v>1.2931731235519155E-2</v>
      </c>
      <c r="F39" s="10">
        <f>D39+E39</f>
        <v>0.24458262503152337</v>
      </c>
    </row>
    <row r="40" spans="1:6" x14ac:dyDescent="0.3">
      <c r="A40" s="16" t="s">
        <v>282</v>
      </c>
      <c r="B40" s="3" t="s">
        <v>40</v>
      </c>
      <c r="C40" s="3" t="s">
        <v>33</v>
      </c>
      <c r="D40" s="12">
        <f>('Data Used - 1'!F124+'Data Used - 1'!G124+'Data Used - 1'!H124)/'Data Used - 1'!I124</f>
        <v>0.23616777446710979</v>
      </c>
      <c r="E40" s="12">
        <f>'Data Used - 1'!K124/'Data Used - 1'!J124</f>
        <v>7.3087845072389553E-3</v>
      </c>
      <c r="F40" s="10">
        <f>D40+E40</f>
        <v>0.24347655897434875</v>
      </c>
    </row>
    <row r="41" spans="1:6" x14ac:dyDescent="0.3">
      <c r="A41" s="16" t="s">
        <v>131</v>
      </c>
      <c r="B41" s="3" t="s">
        <v>25</v>
      </c>
      <c r="C41" s="3" t="s">
        <v>16</v>
      </c>
      <c r="D41" s="12">
        <f>('Data Used - 1'!F43+'Data Used - 1'!G43+'Data Used - 1'!H43)/'Data Used - 1'!I43</f>
        <v>0.21840570317563188</v>
      </c>
      <c r="E41" s="12">
        <f>'Data Used - 1'!K43/'Data Used - 1'!J43</f>
        <v>2.0963813500347948E-2</v>
      </c>
      <c r="F41" s="10">
        <f>D41+E41</f>
        <v>0.23936951667597983</v>
      </c>
    </row>
    <row r="42" spans="1:6" x14ac:dyDescent="0.3">
      <c r="A42" s="16" t="s">
        <v>344</v>
      </c>
      <c r="B42" s="3" t="s">
        <v>31</v>
      </c>
      <c r="C42" s="3" t="s">
        <v>49</v>
      </c>
      <c r="D42" s="12">
        <f>('Data Used - 1'!F164+'Data Used - 1'!G164+'Data Used - 1'!H164)/'Data Used - 1'!I164</f>
        <v>0.23101532992668297</v>
      </c>
      <c r="E42" s="12">
        <f>'Data Used - 1'!K164/'Data Used - 1'!J164</f>
        <v>6.045063198387983E-3</v>
      </c>
      <c r="F42" s="10">
        <f>D42+E42</f>
        <v>0.23706039312507096</v>
      </c>
    </row>
    <row r="43" spans="1:6" x14ac:dyDescent="0.3">
      <c r="A43" s="16" t="s">
        <v>103</v>
      </c>
      <c r="B43" s="3" t="s">
        <v>14</v>
      </c>
      <c r="C43" s="3" t="s">
        <v>42</v>
      </c>
      <c r="D43" s="12">
        <f>('Data Used - 1'!F30+'Data Used - 1'!G30+'Data Used - 1'!H30)/'Data Used - 1'!I30</f>
        <v>0.21208106001558846</v>
      </c>
      <c r="E43" s="12">
        <f>'Data Used - 1'!K30/'Data Used - 1'!J30</f>
        <v>1.8020221787345074E-2</v>
      </c>
      <c r="F43" s="10">
        <f>D43+E43</f>
        <v>0.23010128180293354</v>
      </c>
    </row>
    <row r="44" spans="1:6" x14ac:dyDescent="0.3">
      <c r="A44" s="16" t="s">
        <v>133</v>
      </c>
      <c r="B44" s="3" t="s">
        <v>31</v>
      </c>
      <c r="C44" s="3" t="s">
        <v>42</v>
      </c>
      <c r="D44" s="12">
        <f>('Data Used - 1'!F44+'Data Used - 1'!G44+'Data Used - 1'!H44)/'Data Used - 1'!I44</f>
        <v>0.21826126954921804</v>
      </c>
      <c r="E44" s="12">
        <f>'Data Used - 1'!K44/'Data Used - 1'!J44</f>
        <v>1.1223988202523349E-2</v>
      </c>
      <c r="F44" s="10">
        <f>D44+E44</f>
        <v>0.22948525775174139</v>
      </c>
    </row>
    <row r="45" spans="1:6" x14ac:dyDescent="0.3">
      <c r="A45" s="16" t="s">
        <v>303</v>
      </c>
      <c r="B45" s="3" t="s">
        <v>40</v>
      </c>
      <c r="C45" s="3" t="s">
        <v>71</v>
      </c>
      <c r="D45" s="12">
        <f>('Data Used - 1'!F138+'Data Used - 1'!G138+'Data Used - 1'!H138)/'Data Used - 1'!I138</f>
        <v>0.20871010638297871</v>
      </c>
      <c r="E45" s="12">
        <f>'Data Used - 1'!K138/'Data Used - 1'!J138</f>
        <v>1.8922057517589998E-2</v>
      </c>
      <c r="F45" s="10">
        <f>D45+E45</f>
        <v>0.2276321639005687</v>
      </c>
    </row>
    <row r="46" spans="1:6" x14ac:dyDescent="0.3">
      <c r="A46" s="16" t="s">
        <v>315</v>
      </c>
      <c r="B46" s="3" t="s">
        <v>31</v>
      </c>
      <c r="C46" s="3" t="s">
        <v>16</v>
      </c>
      <c r="D46" s="12">
        <f>('Data Used - 1'!F147+'Data Used - 1'!G147+'Data Used - 1'!H147)/'Data Used - 1'!I147</f>
        <v>0.21636759108210984</v>
      </c>
      <c r="E46" s="12">
        <f>'Data Used - 1'!K147/'Data Used - 1'!J147</f>
        <v>1.1188811188811189E-2</v>
      </c>
      <c r="F46" s="10">
        <f>D46+E46</f>
        <v>0.22755640227092103</v>
      </c>
    </row>
    <row r="47" spans="1:6" x14ac:dyDescent="0.3">
      <c r="A47" s="16" t="s">
        <v>218</v>
      </c>
      <c r="B47" s="3" t="s">
        <v>40</v>
      </c>
      <c r="C47" s="3" t="s">
        <v>71</v>
      </c>
      <c r="D47" s="12">
        <f>('Data Used - 1'!F88+'Data Used - 1'!G88+'Data Used - 1'!H88)/'Data Used - 1'!I88</f>
        <v>0.20868152274837512</v>
      </c>
      <c r="E47" s="12">
        <f>'Data Used - 1'!K88/'Data Used - 1'!J88</f>
        <v>1.5510589717345091E-2</v>
      </c>
      <c r="F47" s="10">
        <f>D47+E47</f>
        <v>0.22419211246572021</v>
      </c>
    </row>
    <row r="48" spans="1:6" x14ac:dyDescent="0.3">
      <c r="A48" s="16" t="s">
        <v>304</v>
      </c>
      <c r="B48" s="3" t="s">
        <v>31</v>
      </c>
      <c r="C48" s="3" t="s">
        <v>49</v>
      </c>
      <c r="D48" s="12">
        <f>('Data Used - 1'!F139+'Data Used - 1'!G139+'Data Used - 1'!H139)/'Data Used - 1'!I139</f>
        <v>0.16065573770491803</v>
      </c>
      <c r="E48" s="12">
        <f>'Data Used - 1'!K139/'Data Used - 1'!J139</f>
        <v>6.3174946004319651E-2</v>
      </c>
      <c r="F48" s="10">
        <f>D48+E48</f>
        <v>0.2238306837092377</v>
      </c>
    </row>
    <row r="49" spans="1:6" x14ac:dyDescent="0.3">
      <c r="A49" s="16" t="s">
        <v>504</v>
      </c>
      <c r="B49" s="3" t="s">
        <v>25</v>
      </c>
      <c r="C49" s="3" t="s">
        <v>71</v>
      </c>
      <c r="D49" s="12">
        <f>('Data Used - 1'!F270+'Data Used - 1'!G270+'Data Used - 1'!H270)/'Data Used - 1'!I270</f>
        <v>0.22157421618066214</v>
      </c>
      <c r="E49" s="12">
        <f>'Data Used - 1'!K270/'Data Used - 1'!J270</f>
        <v>2.0557332115121061E-3</v>
      </c>
      <c r="F49" s="10">
        <f>D49+E49</f>
        <v>0.22362994939217426</v>
      </c>
    </row>
    <row r="50" spans="1:6" x14ac:dyDescent="0.3">
      <c r="A50" s="16" t="s">
        <v>337</v>
      </c>
      <c r="B50" s="3" t="s">
        <v>14</v>
      </c>
      <c r="C50" s="3" t="s">
        <v>33</v>
      </c>
      <c r="D50" s="12">
        <f>('Data Used - 1'!F160+'Data Used - 1'!G160+'Data Used - 1'!H160)/'Data Used - 1'!I160</f>
        <v>0.21745283018867925</v>
      </c>
      <c r="E50" s="12">
        <f>'Data Used - 1'!K160/'Data Used - 1'!J160</f>
        <v>1.4067025237898222E-3</v>
      </c>
      <c r="F50" s="10">
        <f>D50+E50</f>
        <v>0.21885953271246908</v>
      </c>
    </row>
    <row r="51" spans="1:6" x14ac:dyDescent="0.3">
      <c r="A51" s="16" t="s">
        <v>514</v>
      </c>
      <c r="B51" s="3" t="s">
        <v>31</v>
      </c>
      <c r="C51" s="3" t="s">
        <v>42</v>
      </c>
      <c r="D51" s="12">
        <f>('Data Used - 1'!F277+'Data Used - 1'!G277+'Data Used - 1'!H277)/'Data Used - 1'!I277</f>
        <v>0.2015852613538989</v>
      </c>
      <c r="E51" s="12">
        <f>'Data Used - 1'!K277/'Data Used - 1'!J277</f>
        <v>1.543661971830986E-2</v>
      </c>
      <c r="F51" s="10">
        <f>D51+E51</f>
        <v>0.21702188107220877</v>
      </c>
    </row>
    <row r="52" spans="1:6" x14ac:dyDescent="0.3">
      <c r="A52" s="16" t="s">
        <v>399</v>
      </c>
      <c r="B52" s="3" t="s">
        <v>25</v>
      </c>
      <c r="C52" s="3" t="s">
        <v>49</v>
      </c>
      <c r="D52" s="12">
        <f>('Data Used - 1'!F199+'Data Used - 1'!G199+'Data Used - 1'!H199)/'Data Used - 1'!I199</f>
        <v>0.19847328244274809</v>
      </c>
      <c r="E52" s="12">
        <f>'Data Used - 1'!K199/'Data Used - 1'!J199</f>
        <v>1.7788786309389779E-2</v>
      </c>
      <c r="F52" s="10">
        <f>D52+E52</f>
        <v>0.21626206875213788</v>
      </c>
    </row>
    <row r="53" spans="1:6" x14ac:dyDescent="0.3">
      <c r="A53" s="16" t="s">
        <v>507</v>
      </c>
      <c r="B53" s="3" t="s">
        <v>25</v>
      </c>
      <c r="C53" s="3" t="s">
        <v>71</v>
      </c>
      <c r="D53" s="12">
        <f>('Data Used - 1'!F272+'Data Used - 1'!G272+'Data Used - 1'!H272)/'Data Used - 1'!I272</f>
        <v>0.20675990675990677</v>
      </c>
      <c r="E53" s="12">
        <f>'Data Used - 1'!K272/'Data Used - 1'!J272</f>
        <v>9.381765696415684E-3</v>
      </c>
      <c r="F53" s="10">
        <f>D53+E53</f>
        <v>0.21614167245632246</v>
      </c>
    </row>
    <row r="54" spans="1:6" x14ac:dyDescent="0.3">
      <c r="A54" s="16" t="s">
        <v>110</v>
      </c>
      <c r="B54" s="3" t="s">
        <v>25</v>
      </c>
      <c r="C54" s="3" t="s">
        <v>42</v>
      </c>
      <c r="D54" s="12">
        <f>('Data Used - 1'!F33+'Data Used - 1'!G33+'Data Used - 1'!H33)/'Data Used - 1'!I33</f>
        <v>0.19088381621305239</v>
      </c>
      <c r="E54" s="12">
        <f>'Data Used - 1'!K33/'Data Used - 1'!J33</f>
        <v>2.1694540864626063E-2</v>
      </c>
      <c r="F54" s="10">
        <f>D54+E54</f>
        <v>0.21257835707767847</v>
      </c>
    </row>
    <row r="55" spans="1:6" x14ac:dyDescent="0.3">
      <c r="A55" s="16" t="s">
        <v>129</v>
      </c>
      <c r="B55" s="3" t="s">
        <v>31</v>
      </c>
      <c r="C55" s="3" t="s">
        <v>16</v>
      </c>
      <c r="D55" s="12">
        <f>('Data Used - 1'!F42+'Data Used - 1'!G42+'Data Used - 1'!H42)/'Data Used - 1'!I42</f>
        <v>0.18433235867446393</v>
      </c>
      <c r="E55" s="12">
        <f>'Data Used - 1'!K42/'Data Used - 1'!J42</f>
        <v>2.7789074149383218E-2</v>
      </c>
      <c r="F55" s="10">
        <f>D55+E55</f>
        <v>0.21212143282384716</v>
      </c>
    </row>
    <row r="56" spans="1:6" x14ac:dyDescent="0.3">
      <c r="A56" s="16" t="s">
        <v>326</v>
      </c>
      <c r="B56" s="3" t="s">
        <v>25</v>
      </c>
      <c r="C56" s="3" t="s">
        <v>71</v>
      </c>
      <c r="D56" s="12">
        <f>('Data Used - 1'!F154+'Data Used - 1'!G154+'Data Used - 1'!H154)/'Data Used - 1'!I154</f>
        <v>0.17801355732390214</v>
      </c>
      <c r="E56" s="12">
        <f>'Data Used - 1'!K154/'Data Used - 1'!J154</f>
        <v>3.4078122488345929E-2</v>
      </c>
      <c r="F56" s="10">
        <f>D56+E56</f>
        <v>0.21209167981224808</v>
      </c>
    </row>
    <row r="57" spans="1:6" x14ac:dyDescent="0.3">
      <c r="A57" s="16" t="s">
        <v>200</v>
      </c>
      <c r="B57" s="3" t="s">
        <v>40</v>
      </c>
      <c r="C57" s="3" t="s">
        <v>33</v>
      </c>
      <c r="D57" s="12">
        <f>('Data Used - 1'!F78+'Data Used - 1'!G78+'Data Used - 1'!H78)/'Data Used - 1'!I78</f>
        <v>0.20416333066453163</v>
      </c>
      <c r="E57" s="12">
        <f>'Data Used - 1'!K78/'Data Used - 1'!J78</f>
        <v>7.3787772312016867E-3</v>
      </c>
      <c r="F57" s="10">
        <f>D57+E57</f>
        <v>0.21154210789573333</v>
      </c>
    </row>
    <row r="58" spans="1:6" x14ac:dyDescent="0.3">
      <c r="A58" s="16" t="s">
        <v>486</v>
      </c>
      <c r="B58" s="3" t="s">
        <v>14</v>
      </c>
      <c r="C58" s="3" t="s">
        <v>33</v>
      </c>
      <c r="D58" s="12">
        <f>('Data Used - 1'!F259+'Data Used - 1'!G259+'Data Used - 1'!H259)/'Data Used - 1'!I259</f>
        <v>0.2023049153013052</v>
      </c>
      <c r="E58" s="12">
        <f>'Data Used - 1'!K259/'Data Used - 1'!J259</f>
        <v>8.0171529784655547E-3</v>
      </c>
      <c r="F58" s="10">
        <f>D58+E58</f>
        <v>0.21032206827977076</v>
      </c>
    </row>
    <row r="59" spans="1:6" x14ac:dyDescent="0.3">
      <c r="A59" s="16" t="s">
        <v>301</v>
      </c>
      <c r="B59" s="3" t="s">
        <v>31</v>
      </c>
      <c r="C59" s="3" t="s">
        <v>21</v>
      </c>
      <c r="D59" s="12">
        <f>('Data Used - 1'!F137+'Data Used - 1'!G137+'Data Used - 1'!H137)/'Data Used - 1'!I137</f>
        <v>0.20357370772176134</v>
      </c>
      <c r="E59" s="12">
        <f>'Data Used - 1'!K137/'Data Used - 1'!J137</f>
        <v>6.0927028167033787E-3</v>
      </c>
      <c r="F59" s="10">
        <f>D59+E59</f>
        <v>0.20966641053846471</v>
      </c>
    </row>
    <row r="60" spans="1:6" x14ac:dyDescent="0.3">
      <c r="A60" s="16" t="s">
        <v>429</v>
      </c>
      <c r="B60" s="3" t="s">
        <v>31</v>
      </c>
      <c r="C60" s="3" t="s">
        <v>42</v>
      </c>
      <c r="D60" s="12">
        <f>('Data Used - 1'!F219+'Data Used - 1'!G219+'Data Used - 1'!H219)/'Data Used - 1'!I219</f>
        <v>0.18806848582129482</v>
      </c>
      <c r="E60" s="12">
        <f>'Data Used - 1'!K219/'Data Used - 1'!J219</f>
        <v>1.9218673562093787E-2</v>
      </c>
      <c r="F60" s="10">
        <f>D60+E60</f>
        <v>0.2072871593833886</v>
      </c>
    </row>
    <row r="61" spans="1:6" x14ac:dyDescent="0.3">
      <c r="A61" s="16" t="s">
        <v>529</v>
      </c>
      <c r="B61" s="3" t="s">
        <v>14</v>
      </c>
      <c r="C61" s="3" t="s">
        <v>71</v>
      </c>
      <c r="D61" s="12">
        <f>('Data Used - 1'!F287+'Data Used - 1'!G287+'Data Used - 1'!H287)/'Data Used - 1'!I287</f>
        <v>0.19484607062063539</v>
      </c>
      <c r="E61" s="12">
        <f>'Data Used - 1'!K287/'Data Used - 1'!J287</f>
        <v>1.1726585403487116E-2</v>
      </c>
      <c r="F61" s="10">
        <f>D61+E61</f>
        <v>0.2065726560241225</v>
      </c>
    </row>
    <row r="62" spans="1:6" x14ac:dyDescent="0.3">
      <c r="A62" s="16" t="s">
        <v>318</v>
      </c>
      <c r="B62" s="3" t="s">
        <v>31</v>
      </c>
      <c r="C62" s="3" t="s">
        <v>71</v>
      </c>
      <c r="D62" s="12">
        <f>('Data Used - 1'!F149+'Data Used - 1'!G149+'Data Used - 1'!H149)/'Data Used - 1'!I149</f>
        <v>0.19864505202032423</v>
      </c>
      <c r="E62" s="12">
        <f>'Data Used - 1'!K149/'Data Used - 1'!J149</f>
        <v>7.1486596263200652E-3</v>
      </c>
      <c r="F62" s="10">
        <f>D62+E62</f>
        <v>0.20579371164664428</v>
      </c>
    </row>
    <row r="63" spans="1:6" x14ac:dyDescent="0.3">
      <c r="A63" s="16" t="s">
        <v>215</v>
      </c>
      <c r="B63" s="3" t="s">
        <v>40</v>
      </c>
      <c r="C63" s="3" t="s">
        <v>49</v>
      </c>
      <c r="D63" s="12">
        <f>('Data Used - 1'!F86+'Data Used - 1'!G86+'Data Used - 1'!H86)/'Data Used - 1'!I86</f>
        <v>0.19156491900087783</v>
      </c>
      <c r="E63" s="12">
        <f>'Data Used - 1'!K86/'Data Used - 1'!J86</f>
        <v>9.2566507022980634E-3</v>
      </c>
      <c r="F63" s="10">
        <f>D63+E63</f>
        <v>0.20082156970317588</v>
      </c>
    </row>
    <row r="64" spans="1:6" x14ac:dyDescent="0.3">
      <c r="A64" s="16" t="s">
        <v>183</v>
      </c>
      <c r="B64" s="3" t="s">
        <v>40</v>
      </c>
      <c r="C64" s="3" t="s">
        <v>33</v>
      </c>
      <c r="D64" s="12">
        <f>('Data Used - 1'!F69+'Data Used - 1'!G69+'Data Used - 1'!H69)/'Data Used - 1'!I69</f>
        <v>0.19310344827586207</v>
      </c>
      <c r="E64" s="12">
        <f>'Data Used - 1'!K69/'Data Used - 1'!J69</f>
        <v>4.8200726312314299E-3</v>
      </c>
      <c r="F64" s="10">
        <f>D64+E64</f>
        <v>0.1979235209070935</v>
      </c>
    </row>
    <row r="65" spans="1:6" x14ac:dyDescent="0.3">
      <c r="A65" s="16" t="s">
        <v>324</v>
      </c>
      <c r="B65" s="3" t="s">
        <v>40</v>
      </c>
      <c r="C65" s="3" t="s">
        <v>49</v>
      </c>
      <c r="D65" s="12">
        <f>('Data Used - 1'!F153+'Data Used - 1'!G153+'Data Used - 1'!H153)/'Data Used - 1'!I153</f>
        <v>0.19511518179295032</v>
      </c>
      <c r="E65" s="12">
        <f>'Data Used - 1'!K153/'Data Used - 1'!J153</f>
        <v>1.6566795911173776E-3</v>
      </c>
      <c r="F65" s="10">
        <f>D65+E65</f>
        <v>0.19677186138406769</v>
      </c>
    </row>
    <row r="66" spans="1:6" x14ac:dyDescent="0.3">
      <c r="A66" s="16" t="s">
        <v>462</v>
      </c>
      <c r="B66" s="3" t="s">
        <v>25</v>
      </c>
      <c r="C66" s="3" t="s">
        <v>16</v>
      </c>
      <c r="D66" s="12">
        <f>('Data Used - 1'!F243+'Data Used - 1'!G243+'Data Used - 1'!H243)/'Data Used - 1'!I243</f>
        <v>0.18519683938186141</v>
      </c>
      <c r="E66" s="12">
        <f>'Data Used - 1'!K243/'Data Used - 1'!J243</f>
        <v>7.4882327770646124E-3</v>
      </c>
      <c r="F66" s="10">
        <f>D66+E66</f>
        <v>0.19268507215892602</v>
      </c>
    </row>
    <row r="67" spans="1:6" x14ac:dyDescent="0.3">
      <c r="A67" s="16" t="s">
        <v>264</v>
      </c>
      <c r="B67" s="3" t="s">
        <v>31</v>
      </c>
      <c r="C67" s="3" t="s">
        <v>33</v>
      </c>
      <c r="D67" s="12">
        <f>('Data Used - 1'!F113+'Data Used - 1'!G113+'Data Used - 1'!H113)/'Data Used - 1'!I113</f>
        <v>0.17441662408448305</v>
      </c>
      <c r="E67" s="12">
        <f>'Data Used - 1'!K113/'Data Used - 1'!J113</f>
        <v>1.7610435813815595E-2</v>
      </c>
      <c r="F67" s="10">
        <f>D67+E67</f>
        <v>0.19202705989829866</v>
      </c>
    </row>
    <row r="68" spans="1:6" x14ac:dyDescent="0.3">
      <c r="A68" s="16" t="s">
        <v>39</v>
      </c>
      <c r="B68" s="3" t="s">
        <v>14</v>
      </c>
      <c r="C68" s="3" t="s">
        <v>42</v>
      </c>
      <c r="D68" s="12">
        <f>('Data Used - 1'!F7+'Data Used - 1'!G7+'Data Used - 1'!H7)/'Data Used - 1'!I7</f>
        <v>0.17954159592529711</v>
      </c>
      <c r="E68" s="12">
        <f>'Data Used - 1'!K7/'Data Used - 1'!J7</f>
        <v>1.099892588614393E-2</v>
      </c>
      <c r="F68" s="10">
        <f>D68+E68</f>
        <v>0.19054052181144104</v>
      </c>
    </row>
    <row r="69" spans="1:6" x14ac:dyDescent="0.3">
      <c r="A69" s="16" t="s">
        <v>419</v>
      </c>
      <c r="B69" s="3" t="s">
        <v>25</v>
      </c>
      <c r="C69" s="3" t="s">
        <v>42</v>
      </c>
      <c r="D69" s="12">
        <f>('Data Used - 1'!F212+'Data Used - 1'!G212+'Data Used - 1'!H212)/'Data Used - 1'!I212</f>
        <v>0.18632075471698112</v>
      </c>
      <c r="E69" s="12">
        <f>'Data Used - 1'!K212/'Data Used - 1'!J212</f>
        <v>1.6714422158548234E-3</v>
      </c>
      <c r="F69" s="10">
        <f>D69+E69</f>
        <v>0.18799219693283595</v>
      </c>
    </row>
    <row r="70" spans="1:6" x14ac:dyDescent="0.3">
      <c r="A70" s="16" t="s">
        <v>542</v>
      </c>
      <c r="B70" s="3" t="s">
        <v>31</v>
      </c>
      <c r="C70" s="3" t="s">
        <v>42</v>
      </c>
      <c r="D70" s="12">
        <f>('Data Used - 1'!F295+'Data Used - 1'!G295+'Data Used - 1'!H295)/'Data Used - 1'!I295</f>
        <v>0.18248432325794406</v>
      </c>
      <c r="E70" s="12">
        <f>'Data Used - 1'!K295/'Data Used - 1'!J295</f>
        <v>3.1577080007095973E-3</v>
      </c>
      <c r="F70" s="10">
        <f>D70+E70</f>
        <v>0.18564203125865367</v>
      </c>
    </row>
    <row r="71" spans="1:6" x14ac:dyDescent="0.3">
      <c r="A71" s="16" t="s">
        <v>290</v>
      </c>
      <c r="B71" s="3" t="s">
        <v>40</v>
      </c>
      <c r="C71" s="3" t="s">
        <v>21</v>
      </c>
      <c r="D71" s="12">
        <f>('Data Used - 1'!F130+'Data Used - 1'!G130+'Data Used - 1'!H130)/'Data Used - 1'!I130</f>
        <v>0.17291569632044715</v>
      </c>
      <c r="E71" s="12">
        <f>'Data Used - 1'!K130/'Data Used - 1'!J130</f>
        <v>1.0313656494570164E-2</v>
      </c>
      <c r="F71" s="10">
        <f>D71+E71</f>
        <v>0.18322935281501732</v>
      </c>
    </row>
    <row r="72" spans="1:6" x14ac:dyDescent="0.3">
      <c r="A72" s="16" t="s">
        <v>101</v>
      </c>
      <c r="B72" s="3" t="s">
        <v>40</v>
      </c>
      <c r="C72" s="3" t="s">
        <v>71</v>
      </c>
      <c r="D72" s="12">
        <f>('Data Used - 1'!F29+'Data Used - 1'!G29+'Data Used - 1'!H29)/'Data Used - 1'!I29</f>
        <v>0.17057291666666666</v>
      </c>
      <c r="E72" s="12">
        <f>'Data Used - 1'!K29/'Data Used - 1'!J29</f>
        <v>1.2621824572615434E-2</v>
      </c>
      <c r="F72" s="10">
        <f>D72+E72</f>
        <v>0.18319474123928209</v>
      </c>
    </row>
    <row r="73" spans="1:6" x14ac:dyDescent="0.3">
      <c r="A73" s="16" t="s">
        <v>460</v>
      </c>
      <c r="B73" s="3" t="s">
        <v>25</v>
      </c>
      <c r="C73" s="3" t="s">
        <v>33</v>
      </c>
      <c r="D73" s="12">
        <f>('Data Used - 1'!F242+'Data Used - 1'!G242+'Data Used - 1'!H242)/'Data Used - 1'!I242</f>
        <v>0.17743908486792079</v>
      </c>
      <c r="E73" s="12">
        <f>'Data Used - 1'!K242/'Data Used - 1'!J242</f>
        <v>4.1703698639502292E-3</v>
      </c>
      <c r="F73" s="10">
        <f>D73+E73</f>
        <v>0.18160945473187101</v>
      </c>
    </row>
    <row r="74" spans="1:6" x14ac:dyDescent="0.3">
      <c r="A74" s="16" t="s">
        <v>222</v>
      </c>
      <c r="B74" s="3" t="s">
        <v>14</v>
      </c>
      <c r="C74" s="3" t="s">
        <v>49</v>
      </c>
      <c r="D74" s="12">
        <f>('Data Used - 1'!F90+'Data Used - 1'!G90+'Data Used - 1'!H90)/'Data Used - 1'!I90</f>
        <v>0.16873144921925409</v>
      </c>
      <c r="E74" s="12">
        <f>'Data Used - 1'!K90/'Data Used - 1'!J90</f>
        <v>1.2162162162162163E-2</v>
      </c>
      <c r="F74" s="10">
        <f>D74+E74</f>
        <v>0.18089361138141624</v>
      </c>
    </row>
    <row r="75" spans="1:6" x14ac:dyDescent="0.3">
      <c r="A75" s="16" t="s">
        <v>544</v>
      </c>
      <c r="B75" s="3" t="s">
        <v>14</v>
      </c>
      <c r="C75" s="3" t="s">
        <v>49</v>
      </c>
      <c r="D75" s="12">
        <f>('Data Used - 1'!F296+'Data Used - 1'!G296+'Data Used - 1'!H296)/'Data Used - 1'!I296</f>
        <v>0.16540727459016394</v>
      </c>
      <c r="E75" s="12">
        <f>'Data Used - 1'!K296/'Data Used - 1'!J296</f>
        <v>1.5256768162046354E-2</v>
      </c>
      <c r="F75" s="10">
        <f>D75+E75</f>
        <v>0.18066404275221029</v>
      </c>
    </row>
    <row r="76" spans="1:6" x14ac:dyDescent="0.3">
      <c r="A76" s="16" t="s">
        <v>139</v>
      </c>
      <c r="B76" s="3" t="s">
        <v>31</v>
      </c>
      <c r="C76" s="3" t="s">
        <v>71</v>
      </c>
      <c r="D76" s="12">
        <f>('Data Used - 1'!F47+'Data Used - 1'!G47+'Data Used - 1'!H47)/'Data Used - 1'!I47</f>
        <v>0.16888537906137185</v>
      </c>
      <c r="E76" s="12">
        <f>'Data Used - 1'!K47/'Data Used - 1'!J47</f>
        <v>1.113662456946039E-2</v>
      </c>
      <c r="F76" s="10">
        <f>D76+E76</f>
        <v>0.18002200363083223</v>
      </c>
    </row>
    <row r="77" spans="1:6" x14ac:dyDescent="0.3">
      <c r="A77" s="16" t="s">
        <v>120</v>
      </c>
      <c r="B77" s="3" t="s">
        <v>31</v>
      </c>
      <c r="C77" s="3" t="s">
        <v>42</v>
      </c>
      <c r="D77" s="12">
        <f>('Data Used - 1'!F38+'Data Used - 1'!G38+'Data Used - 1'!H38)/'Data Used - 1'!I38</f>
        <v>0.17770337301587302</v>
      </c>
      <c r="E77" s="12">
        <f>'Data Used - 1'!K38/'Data Used - 1'!J38</f>
        <v>1.5307424100688834E-3</v>
      </c>
      <c r="F77" s="10">
        <f>D77+E77</f>
        <v>0.17923411542594192</v>
      </c>
    </row>
    <row r="78" spans="1:6" x14ac:dyDescent="0.3">
      <c r="A78" s="16" t="s">
        <v>493</v>
      </c>
      <c r="B78" s="3" t="s">
        <v>25</v>
      </c>
      <c r="C78" s="3" t="s">
        <v>49</v>
      </c>
      <c r="D78" s="12">
        <f>('Data Used - 1'!F263+'Data Used - 1'!G263+'Data Used - 1'!H263)/'Data Used - 1'!I263</f>
        <v>0.15339966832504145</v>
      </c>
      <c r="E78" s="12">
        <f>'Data Used - 1'!K263/'Data Used - 1'!J263</f>
        <v>2.5167250716788787E-2</v>
      </c>
      <c r="F78" s="10">
        <f>D78+E78</f>
        <v>0.17856691904183025</v>
      </c>
    </row>
    <row r="79" spans="1:6" x14ac:dyDescent="0.3">
      <c r="A79" s="16" t="s">
        <v>258</v>
      </c>
      <c r="B79" s="3" t="s">
        <v>40</v>
      </c>
      <c r="C79" s="3" t="s">
        <v>33</v>
      </c>
      <c r="D79" s="12">
        <f>('Data Used - 1'!F110+'Data Used - 1'!G110+'Data Used - 1'!H110)/'Data Used - 1'!I110</f>
        <v>0.16744313510550835</v>
      </c>
      <c r="E79" s="12">
        <f>'Data Used - 1'!K110/'Data Used - 1'!J110</f>
        <v>6.689901053559268E-3</v>
      </c>
      <c r="F79" s="10">
        <f>D79+E79</f>
        <v>0.17413303615906761</v>
      </c>
    </row>
    <row r="80" spans="1:6" x14ac:dyDescent="0.3">
      <c r="A80" s="16" t="s">
        <v>142</v>
      </c>
      <c r="B80" s="3" t="s">
        <v>40</v>
      </c>
      <c r="C80" s="3" t="s">
        <v>42</v>
      </c>
      <c r="D80" s="12">
        <f>('Data Used - 1'!F48+'Data Used - 1'!G48+'Data Used - 1'!H48)/'Data Used - 1'!I48</f>
        <v>0.16683616863905326</v>
      </c>
      <c r="E80" s="12">
        <f>'Data Used - 1'!K48/'Data Used - 1'!J48</f>
        <v>6.1081185071181227E-3</v>
      </c>
      <c r="F80" s="10">
        <f>D80+E80</f>
        <v>0.17294428714617138</v>
      </c>
    </row>
    <row r="81" spans="1:6" x14ac:dyDescent="0.3">
      <c r="A81" s="16" t="s">
        <v>272</v>
      </c>
      <c r="B81" s="3" t="s">
        <v>31</v>
      </c>
      <c r="C81" s="3" t="s">
        <v>16</v>
      </c>
      <c r="D81" s="12">
        <f>('Data Used - 1'!F117+'Data Used - 1'!G117+'Data Used - 1'!H117)/'Data Used - 1'!I117</f>
        <v>0.16769515581610614</v>
      </c>
      <c r="E81" s="12">
        <f>'Data Used - 1'!K117/'Data Used - 1'!J117</f>
        <v>5.2230772297755272E-3</v>
      </c>
      <c r="F81" s="10">
        <f>D81+E81</f>
        <v>0.17291823304588166</v>
      </c>
    </row>
    <row r="82" spans="1:6" x14ac:dyDescent="0.3">
      <c r="A82" s="16" t="s">
        <v>210</v>
      </c>
      <c r="B82" s="3" t="s">
        <v>25</v>
      </c>
      <c r="C82" s="3" t="s">
        <v>71</v>
      </c>
      <c r="D82" s="12">
        <f>('Data Used - 1'!F84+'Data Used - 1'!G84+'Data Used - 1'!H84)/'Data Used - 1'!I84</f>
        <v>0.16118220597196831</v>
      </c>
      <c r="E82" s="12">
        <f>'Data Used - 1'!K84/'Data Used - 1'!J84</f>
        <v>1.1655739410968884E-2</v>
      </c>
      <c r="F82" s="10">
        <f>D82+E82</f>
        <v>0.1728379453829372</v>
      </c>
    </row>
    <row r="83" spans="1:6" x14ac:dyDescent="0.3">
      <c r="A83" s="16" t="s">
        <v>168</v>
      </c>
      <c r="B83" s="3" t="s">
        <v>14</v>
      </c>
      <c r="C83" s="3" t="s">
        <v>71</v>
      </c>
      <c r="D83" s="12">
        <f>('Data Used - 1'!F61+'Data Used - 1'!G61+'Data Used - 1'!H61)/'Data Used - 1'!I61</f>
        <v>0.1650782845473111</v>
      </c>
      <c r="E83" s="12">
        <f>'Data Used - 1'!K61/'Data Used - 1'!J61</f>
        <v>7.2538860103626944E-3</v>
      </c>
      <c r="F83" s="10">
        <f>D83+E83</f>
        <v>0.1723321705576738</v>
      </c>
    </row>
    <row r="84" spans="1:6" x14ac:dyDescent="0.3">
      <c r="A84" s="16" t="s">
        <v>231</v>
      </c>
      <c r="B84" s="3" t="s">
        <v>40</v>
      </c>
      <c r="C84" s="3" t="s">
        <v>49</v>
      </c>
      <c r="D84" s="12">
        <f>('Data Used - 1'!F95+'Data Used - 1'!G95+'Data Used - 1'!H95)/'Data Used - 1'!I95</f>
        <v>0.16843866371633656</v>
      </c>
      <c r="E84" s="12">
        <f>'Data Used - 1'!K95/'Data Used - 1'!J95</f>
        <v>2.5783308110531923E-3</v>
      </c>
      <c r="F84" s="10">
        <f>D84+E84</f>
        <v>0.17101699452738975</v>
      </c>
    </row>
    <row r="85" spans="1:6" x14ac:dyDescent="0.3">
      <c r="A85" s="16" t="s">
        <v>513</v>
      </c>
      <c r="B85" s="3" t="s">
        <v>14</v>
      </c>
      <c r="C85" s="3" t="s">
        <v>16</v>
      </c>
      <c r="D85" s="12">
        <f>('Data Used - 1'!F276+'Data Used - 1'!G276+'Data Used - 1'!H276)/'Data Used - 1'!I276</f>
        <v>0.16754738655944859</v>
      </c>
      <c r="E85" s="12">
        <f>'Data Used - 1'!K276/'Data Used - 1'!J276</f>
        <v>3.4433626217050583E-3</v>
      </c>
      <c r="F85" s="10">
        <f>D85+E85</f>
        <v>0.17099074918115365</v>
      </c>
    </row>
    <row r="86" spans="1:6" x14ac:dyDescent="0.3">
      <c r="A86" s="16" t="s">
        <v>156</v>
      </c>
      <c r="B86" s="3" t="s">
        <v>31</v>
      </c>
      <c r="C86" s="3" t="s">
        <v>42</v>
      </c>
      <c r="D86" s="12">
        <f>('Data Used - 1'!F55+'Data Used - 1'!G55+'Data Used - 1'!H55)/'Data Used - 1'!I55</f>
        <v>0.16510298716704411</v>
      </c>
      <c r="E86" s="12">
        <f>'Data Used - 1'!K55/'Data Used - 1'!J55</f>
        <v>2.8617027131143031E-3</v>
      </c>
      <c r="F86" s="10">
        <f>D86+E86</f>
        <v>0.16796468988015842</v>
      </c>
    </row>
    <row r="87" spans="1:6" x14ac:dyDescent="0.3">
      <c r="A87" s="16" t="s">
        <v>347</v>
      </c>
      <c r="B87" s="3" t="s">
        <v>31</v>
      </c>
      <c r="C87" s="3" t="s">
        <v>21</v>
      </c>
      <c r="D87" s="12">
        <f>('Data Used - 1'!F166+'Data Used - 1'!G166+'Data Used - 1'!H166)/'Data Used - 1'!I166</f>
        <v>0.15405989502933004</v>
      </c>
      <c r="E87" s="12">
        <f>'Data Used - 1'!K166/'Data Used - 1'!J166</f>
        <v>1.0373911866853096E-2</v>
      </c>
      <c r="F87" s="10">
        <f>D87+E87</f>
        <v>0.16443380689618314</v>
      </c>
    </row>
    <row r="88" spans="1:6" x14ac:dyDescent="0.3">
      <c r="A88" s="16" t="s">
        <v>389</v>
      </c>
      <c r="B88" s="3" t="s">
        <v>31</v>
      </c>
      <c r="C88" s="3" t="s">
        <v>71</v>
      </c>
      <c r="D88" s="12">
        <f>('Data Used - 1'!F193+'Data Used - 1'!G193+'Data Used - 1'!H193)/'Data Used - 1'!I193</f>
        <v>0.1441326530612245</v>
      </c>
      <c r="E88" s="12">
        <f>'Data Used - 1'!K193/'Data Used - 1'!J193</f>
        <v>2.0017662643508977E-2</v>
      </c>
      <c r="F88" s="10">
        <f>D88+E88</f>
        <v>0.16415031570473348</v>
      </c>
    </row>
    <row r="89" spans="1:6" x14ac:dyDescent="0.3">
      <c r="A89" s="16" t="s">
        <v>441</v>
      </c>
      <c r="B89" s="3" t="s">
        <v>40</v>
      </c>
      <c r="C89" s="3" t="s">
        <v>21</v>
      </c>
      <c r="D89" s="12">
        <f>('Data Used - 1'!F228+'Data Used - 1'!G228+'Data Used - 1'!H228)/'Data Used - 1'!I228</f>
        <v>0.11232349165596919</v>
      </c>
      <c r="E89" s="12">
        <f>'Data Used - 1'!K228/'Data Used - 1'!J228</f>
        <v>4.9430523917995448E-2</v>
      </c>
      <c r="F89" s="10">
        <f>D89+E89</f>
        <v>0.16175401557396463</v>
      </c>
    </row>
    <row r="90" spans="1:6" x14ac:dyDescent="0.3">
      <c r="A90" s="16" t="s">
        <v>478</v>
      </c>
      <c r="B90" s="3" t="s">
        <v>40</v>
      </c>
      <c r="C90" s="3" t="s">
        <v>42</v>
      </c>
      <c r="D90" s="12">
        <f>('Data Used - 1'!F253+'Data Used - 1'!G253+'Data Used - 1'!H253)/'Data Used - 1'!I253</f>
        <v>0.15761129727142173</v>
      </c>
      <c r="E90" s="12">
        <f>'Data Used - 1'!K253/'Data Used - 1'!J253</f>
        <v>3.924213624379177E-3</v>
      </c>
      <c r="F90" s="10">
        <f>D90+E90</f>
        <v>0.1615355108958009</v>
      </c>
    </row>
    <row r="91" spans="1:6" x14ac:dyDescent="0.3">
      <c r="A91" s="16" t="s">
        <v>394</v>
      </c>
      <c r="B91" s="3" t="s">
        <v>14</v>
      </c>
      <c r="C91" s="3" t="s">
        <v>42</v>
      </c>
      <c r="D91" s="12">
        <f>('Data Used - 1'!F196+'Data Used - 1'!G196+'Data Used - 1'!H196)/'Data Used - 1'!I196</f>
        <v>0.13667732704931829</v>
      </c>
      <c r="E91" s="12">
        <f>'Data Used - 1'!K196/'Data Used - 1'!J196</f>
        <v>2.4521739130434782E-2</v>
      </c>
      <c r="F91" s="10">
        <f>D91+E91</f>
        <v>0.16119906617975308</v>
      </c>
    </row>
    <row r="92" spans="1:6" x14ac:dyDescent="0.3">
      <c r="A92" s="16" t="s">
        <v>432</v>
      </c>
      <c r="B92" s="3" t="s">
        <v>31</v>
      </c>
      <c r="C92" s="3" t="s">
        <v>71</v>
      </c>
      <c r="D92" s="12">
        <f>('Data Used - 1'!F222+'Data Used - 1'!G222+'Data Used - 1'!H222)/'Data Used - 1'!I222</f>
        <v>0.15989220750056141</v>
      </c>
      <c r="E92" s="12">
        <f>'Data Used - 1'!K222/'Data Used - 1'!J222</f>
        <v>7.5249468346147549E-4</v>
      </c>
      <c r="F92" s="10">
        <f>D92+E92</f>
        <v>0.16064470218402288</v>
      </c>
    </row>
    <row r="93" spans="1:6" x14ac:dyDescent="0.3">
      <c r="A93" s="16" t="s">
        <v>153</v>
      </c>
      <c r="B93" s="3" t="s">
        <v>31</v>
      </c>
      <c r="C93" s="3" t="s">
        <v>49</v>
      </c>
      <c r="D93" s="12">
        <f>('Data Used - 1'!F53+'Data Used - 1'!G53+'Data Used - 1'!H53)/'Data Used - 1'!I53</f>
        <v>0.1569549774407219</v>
      </c>
      <c r="E93" s="12">
        <f>'Data Used - 1'!K53/'Data Used - 1'!J53</f>
        <v>3.4943473792394654E-3</v>
      </c>
      <c r="F93" s="10">
        <f>D93+E93</f>
        <v>0.16044932481996135</v>
      </c>
    </row>
    <row r="94" spans="1:6" x14ac:dyDescent="0.3">
      <c r="A94" s="16" t="s">
        <v>317</v>
      </c>
      <c r="B94" s="3" t="s">
        <v>14</v>
      </c>
      <c r="C94" s="3" t="s">
        <v>16</v>
      </c>
      <c r="D94" s="12">
        <f>('Data Used - 1'!F148+'Data Used - 1'!G148+'Data Used - 1'!H148)/'Data Used - 1'!I148</f>
        <v>0.15283323095823095</v>
      </c>
      <c r="E94" s="12">
        <f>'Data Used - 1'!K148/'Data Used - 1'!J148</f>
        <v>5.6014728348153077E-3</v>
      </c>
      <c r="F94" s="10">
        <f>D94+E94</f>
        <v>0.15843470379304625</v>
      </c>
    </row>
    <row r="95" spans="1:6" x14ac:dyDescent="0.3">
      <c r="A95" s="16" t="s">
        <v>360</v>
      </c>
      <c r="B95" s="3" t="s">
        <v>14</v>
      </c>
      <c r="C95" s="3" t="s">
        <v>71</v>
      </c>
      <c r="D95" s="12">
        <f>('Data Used - 1'!F174+'Data Used - 1'!G174+'Data Used - 1'!H174)/'Data Used - 1'!I174</f>
        <v>0.14348370927318296</v>
      </c>
      <c r="E95" s="12">
        <f>'Data Used - 1'!K174/'Data Used - 1'!J174</f>
        <v>1.4890435008778204E-2</v>
      </c>
      <c r="F95" s="10">
        <f>D95+E95</f>
        <v>0.15837414428196117</v>
      </c>
    </row>
    <row r="96" spans="1:6" x14ac:dyDescent="0.3">
      <c r="A96" s="16" t="s">
        <v>30</v>
      </c>
      <c r="B96" s="3" t="s">
        <v>31</v>
      </c>
      <c r="C96" s="3" t="s">
        <v>33</v>
      </c>
      <c r="D96" s="12">
        <f>('Data Used - 1'!F5+'Data Used - 1'!G5+'Data Used - 1'!H5)/'Data Used - 1'!I5</f>
        <v>0.15105033277870217</v>
      </c>
      <c r="E96" s="12">
        <f>'Data Used - 1'!K5/'Data Used - 1'!J5</f>
        <v>6.8684267010088E-3</v>
      </c>
      <c r="F96" s="10">
        <f>D96+E96</f>
        <v>0.15791875947971096</v>
      </c>
    </row>
    <row r="97" spans="1:6" x14ac:dyDescent="0.3">
      <c r="A97" s="16" t="s">
        <v>346</v>
      </c>
      <c r="B97" s="3" t="s">
        <v>14</v>
      </c>
      <c r="C97" s="3" t="s">
        <v>21</v>
      </c>
      <c r="D97" s="12">
        <f>('Data Used - 1'!F165+'Data Used - 1'!G165+'Data Used - 1'!H165)/'Data Used - 1'!I165</f>
        <v>0.15355188488042157</v>
      </c>
      <c r="E97" s="12">
        <f>'Data Used - 1'!K165/'Data Used - 1'!J165</f>
        <v>4.3305573350416399E-3</v>
      </c>
      <c r="F97" s="10">
        <f>D97+E97</f>
        <v>0.15788244221546321</v>
      </c>
    </row>
    <row r="98" spans="1:6" x14ac:dyDescent="0.3">
      <c r="A98" s="16" t="s">
        <v>307</v>
      </c>
      <c r="B98" s="3" t="s">
        <v>31</v>
      </c>
      <c r="C98" s="3" t="s">
        <v>49</v>
      </c>
      <c r="D98" s="12">
        <f>('Data Used - 1'!F141+'Data Used - 1'!G141+'Data Used - 1'!H141)/'Data Used - 1'!I141</f>
        <v>0.15571802706241816</v>
      </c>
      <c r="E98" s="12">
        <f>'Data Used - 1'!K141/'Data Used - 1'!J141</f>
        <v>5.52455665432849E-4</v>
      </c>
      <c r="F98" s="10">
        <f>D98+E98</f>
        <v>0.15627048272785102</v>
      </c>
    </row>
    <row r="99" spans="1:6" x14ac:dyDescent="0.3">
      <c r="A99" s="16" t="s">
        <v>66</v>
      </c>
      <c r="B99" s="3" t="s">
        <v>25</v>
      </c>
      <c r="C99" s="3" t="s">
        <v>33</v>
      </c>
      <c r="D99" s="12">
        <f>('Data Used - 1'!F15+'Data Used - 1'!G15+'Data Used - 1'!H15)/'Data Used - 1'!I15</f>
        <v>0.14521452145214522</v>
      </c>
      <c r="E99" s="12">
        <f>'Data Used - 1'!K15/'Data Used - 1'!J15</f>
        <v>7.8397727945091998E-3</v>
      </c>
      <c r="F99" s="10">
        <f>D99+E99</f>
        <v>0.15305429424665443</v>
      </c>
    </row>
    <row r="100" spans="1:6" x14ac:dyDescent="0.3">
      <c r="A100" s="16" t="s">
        <v>348</v>
      </c>
      <c r="B100" s="3" t="s">
        <v>40</v>
      </c>
      <c r="C100" s="3" t="s">
        <v>16</v>
      </c>
      <c r="D100" s="12">
        <f>('Data Used - 1'!F167+'Data Used - 1'!G167+'Data Used - 1'!H167)/'Data Used - 1'!I167</f>
        <v>0.14320716458262928</v>
      </c>
      <c r="E100" s="12">
        <f>'Data Used - 1'!K167/'Data Used - 1'!J167</f>
        <v>8.9686098654708519E-3</v>
      </c>
      <c r="F100" s="10">
        <f>D100+E100</f>
        <v>0.15217577444810013</v>
      </c>
    </row>
    <row r="101" spans="1:6" x14ac:dyDescent="0.3">
      <c r="A101" s="16" t="s">
        <v>285</v>
      </c>
      <c r="B101" s="3" t="s">
        <v>31</v>
      </c>
      <c r="C101" s="3" t="s">
        <v>42</v>
      </c>
      <c r="D101" s="12">
        <f>('Data Used - 1'!F126+'Data Used - 1'!G126+'Data Used - 1'!H126)/'Data Used - 1'!I126</f>
        <v>0.14265722032712325</v>
      </c>
      <c r="E101" s="12">
        <f>'Data Used - 1'!K126/'Data Used - 1'!J126</f>
        <v>6.8352499413283268E-3</v>
      </c>
      <c r="F101" s="10">
        <f>D101+E101</f>
        <v>0.14949247026845158</v>
      </c>
    </row>
    <row r="102" spans="1:6" x14ac:dyDescent="0.3">
      <c r="A102" s="16" t="s">
        <v>126</v>
      </c>
      <c r="B102" s="3" t="s">
        <v>31</v>
      </c>
      <c r="C102" s="3" t="s">
        <v>49</v>
      </c>
      <c r="D102" s="12">
        <f>('Data Used - 1'!F41+'Data Used - 1'!G41+'Data Used - 1'!H41)/'Data Used - 1'!I41</f>
        <v>0.13989473684210527</v>
      </c>
      <c r="E102" s="12">
        <f>'Data Used - 1'!K41/'Data Used - 1'!J41</f>
        <v>7.9117273497036414E-3</v>
      </c>
      <c r="F102" s="10">
        <f>D102+E102</f>
        <v>0.1478064641918089</v>
      </c>
    </row>
    <row r="103" spans="1:6" x14ac:dyDescent="0.3">
      <c r="A103" s="16" t="s">
        <v>509</v>
      </c>
      <c r="B103" s="3" t="s">
        <v>14</v>
      </c>
      <c r="C103" s="3" t="s">
        <v>21</v>
      </c>
      <c r="D103" s="12">
        <f>('Data Used - 1'!F273+'Data Used - 1'!G273+'Data Used - 1'!H273)/'Data Used - 1'!I273</f>
        <v>0.14220299534507186</v>
      </c>
      <c r="E103" s="12">
        <f>'Data Used - 1'!K273/'Data Used - 1'!J273</f>
        <v>5.5422179087704958E-3</v>
      </c>
      <c r="F103" s="10">
        <f>D103+E103</f>
        <v>0.14774521325384235</v>
      </c>
    </row>
    <row r="104" spans="1:6" x14ac:dyDescent="0.3">
      <c r="A104" s="16" t="s">
        <v>413</v>
      </c>
      <c r="B104" s="3" t="s">
        <v>31</v>
      </c>
      <c r="C104" s="3" t="s">
        <v>42</v>
      </c>
      <c r="D104" s="12">
        <f>('Data Used - 1'!F208+'Data Used - 1'!G208+'Data Used - 1'!H208)/'Data Used - 1'!I208</f>
        <v>0.14316214319138981</v>
      </c>
      <c r="E104" s="12">
        <f>'Data Used - 1'!K208/'Data Used - 1'!J208</f>
        <v>3.8569634634933922E-3</v>
      </c>
      <c r="F104" s="10">
        <f>D104+E104</f>
        <v>0.14701910665488321</v>
      </c>
    </row>
    <row r="105" spans="1:6" x14ac:dyDescent="0.3">
      <c r="A105" s="16" t="s">
        <v>454</v>
      </c>
      <c r="B105" s="3" t="s">
        <v>25</v>
      </c>
      <c r="C105" s="3" t="s">
        <v>21</v>
      </c>
      <c r="D105" s="12">
        <f>('Data Used - 1'!F237+'Data Used - 1'!G237+'Data Used - 1'!H237)/'Data Used - 1'!I237</f>
        <v>0.12943516308671441</v>
      </c>
      <c r="E105" s="12">
        <f>'Data Used - 1'!K237/'Data Used - 1'!J237</f>
        <v>1.6638078902229847E-2</v>
      </c>
      <c r="F105" s="10">
        <f>D105+E105</f>
        <v>0.14607324198894425</v>
      </c>
    </row>
    <row r="106" spans="1:6" x14ac:dyDescent="0.3">
      <c r="A106" s="16" t="s">
        <v>362</v>
      </c>
      <c r="B106" s="3" t="s">
        <v>31</v>
      </c>
      <c r="C106" s="3" t="s">
        <v>21</v>
      </c>
      <c r="D106" s="12">
        <f>('Data Used - 1'!F175+'Data Used - 1'!G175+'Data Used - 1'!H175)/'Data Used - 1'!I175</f>
        <v>0.13809430512016718</v>
      </c>
      <c r="E106" s="12">
        <f>'Data Used - 1'!K175/'Data Used - 1'!J175</f>
        <v>7.7739918621191574E-3</v>
      </c>
      <c r="F106" s="10">
        <f>D106+E106</f>
        <v>0.14586829698228634</v>
      </c>
    </row>
    <row r="107" spans="1:6" x14ac:dyDescent="0.3">
      <c r="A107" s="16" t="s">
        <v>170</v>
      </c>
      <c r="B107" s="3" t="s">
        <v>40</v>
      </c>
      <c r="C107" s="3" t="s">
        <v>71</v>
      </c>
      <c r="D107" s="12">
        <f>('Data Used - 1'!F62+'Data Used - 1'!G62+'Data Used - 1'!H62)/'Data Used - 1'!I62</f>
        <v>0.14276618001546368</v>
      </c>
      <c r="E107" s="12">
        <f>'Data Used - 1'!K62/'Data Used - 1'!J62</f>
        <v>1.5032725086149079E-3</v>
      </c>
      <c r="F107" s="10">
        <f>D107+E107</f>
        <v>0.14426945252407858</v>
      </c>
    </row>
    <row r="108" spans="1:6" x14ac:dyDescent="0.3">
      <c r="A108" s="16" t="s">
        <v>377</v>
      </c>
      <c r="B108" s="3" t="s">
        <v>14</v>
      </c>
      <c r="C108" s="3" t="s">
        <v>49</v>
      </c>
      <c r="D108" s="12">
        <f>('Data Used - 1'!F185+'Data Used - 1'!G185+'Data Used - 1'!H185)/'Data Used - 1'!I185</f>
        <v>0.13614307931570763</v>
      </c>
      <c r="E108" s="12">
        <f>'Data Used - 1'!K185/'Data Used - 1'!J185</f>
        <v>7.9926124060629225E-3</v>
      </c>
      <c r="F108" s="10">
        <f>D108+E108</f>
        <v>0.14413569172177054</v>
      </c>
    </row>
    <row r="109" spans="1:6" x14ac:dyDescent="0.3">
      <c r="A109" s="16" t="s">
        <v>481</v>
      </c>
      <c r="B109" s="3" t="s">
        <v>40</v>
      </c>
      <c r="C109" s="3" t="s">
        <v>49</v>
      </c>
      <c r="D109" s="12">
        <f>('Data Used - 1'!F255+'Data Used - 1'!G255+'Data Used - 1'!H255)/'Data Used - 1'!I255</f>
        <v>0.13331166419019316</v>
      </c>
      <c r="E109" s="12">
        <f>'Data Used - 1'!K255/'Data Used - 1'!J255</f>
        <v>1.0606060606060607E-2</v>
      </c>
      <c r="F109" s="10">
        <f>D109+E109</f>
        <v>0.14391772479625378</v>
      </c>
    </row>
    <row r="110" spans="1:6" x14ac:dyDescent="0.3">
      <c r="A110" s="16" t="s">
        <v>294</v>
      </c>
      <c r="B110" s="3" t="s">
        <v>40</v>
      </c>
      <c r="C110" s="3" t="s">
        <v>33</v>
      </c>
      <c r="D110" s="12">
        <f>('Data Used - 1'!F133+'Data Used - 1'!G133+'Data Used - 1'!H133)/'Data Used - 1'!I133</f>
        <v>0.13493953401503478</v>
      </c>
      <c r="E110" s="12">
        <f>'Data Used - 1'!K133/'Data Used - 1'!J133</f>
        <v>8.8710831306338528E-3</v>
      </c>
      <c r="F110" s="10">
        <f>D110+E110</f>
        <v>0.14381061714566862</v>
      </c>
    </row>
    <row r="111" spans="1:6" x14ac:dyDescent="0.3">
      <c r="A111" s="16" t="s">
        <v>538</v>
      </c>
      <c r="B111" s="3" t="s">
        <v>25</v>
      </c>
      <c r="C111" s="3" t="s">
        <v>21</v>
      </c>
      <c r="D111" s="12">
        <f>('Data Used - 1'!F293+'Data Used - 1'!G293+'Data Used - 1'!H293)/'Data Used - 1'!I293</f>
        <v>0.12353896103896105</v>
      </c>
      <c r="E111" s="12">
        <f>'Data Used - 1'!K293/'Data Used - 1'!J293</f>
        <v>1.9869761228919685E-2</v>
      </c>
      <c r="F111" s="10">
        <f>D111+E111</f>
        <v>0.14340872226788073</v>
      </c>
    </row>
    <row r="112" spans="1:6" x14ac:dyDescent="0.3">
      <c r="A112" s="16" t="s">
        <v>248</v>
      </c>
      <c r="B112" s="3" t="s">
        <v>40</v>
      </c>
      <c r="C112" s="3" t="s">
        <v>33</v>
      </c>
      <c r="D112" s="12">
        <f>('Data Used - 1'!F105+'Data Used - 1'!G105+'Data Used - 1'!H105)/'Data Used - 1'!I105</f>
        <v>0.13707250341997265</v>
      </c>
      <c r="E112" s="12">
        <f>'Data Used - 1'!K105/'Data Used - 1'!J105</f>
        <v>6.215836326721849E-3</v>
      </c>
      <c r="F112" s="10">
        <f>D112+E112</f>
        <v>0.1432883397466945</v>
      </c>
    </row>
    <row r="113" spans="1:6" x14ac:dyDescent="0.3">
      <c r="A113" s="16" t="s">
        <v>228</v>
      </c>
      <c r="B113" s="3" t="s">
        <v>31</v>
      </c>
      <c r="C113" s="3" t="s">
        <v>33</v>
      </c>
      <c r="D113" s="12">
        <f>('Data Used - 1'!F93+'Data Used - 1'!G93+'Data Used - 1'!H93)/'Data Used - 1'!I93</f>
        <v>0.13599052880820836</v>
      </c>
      <c r="E113" s="12">
        <f>'Data Used - 1'!K93/'Data Used - 1'!J93</f>
        <v>6.272425249169435E-3</v>
      </c>
      <c r="F113" s="10">
        <f>D113+E113</f>
        <v>0.14226295405737779</v>
      </c>
    </row>
    <row r="114" spans="1:6" x14ac:dyDescent="0.3">
      <c r="A114" s="16" t="s">
        <v>550</v>
      </c>
      <c r="B114" s="3" t="s">
        <v>40</v>
      </c>
      <c r="C114" s="3" t="s">
        <v>49</v>
      </c>
      <c r="D114" s="12">
        <f>('Data Used - 1'!F300+'Data Used - 1'!G300+'Data Used - 1'!H300)/'Data Used - 1'!I300</f>
        <v>0.13840458048129492</v>
      </c>
      <c r="E114" s="12">
        <f>'Data Used - 1'!K300/'Data Used - 1'!J300</f>
        <v>3.1346558595674173E-3</v>
      </c>
      <c r="F114" s="10">
        <f>D114+E114</f>
        <v>0.14153923634086235</v>
      </c>
    </row>
    <row r="115" spans="1:6" x14ac:dyDescent="0.3">
      <c r="A115" s="16" t="s">
        <v>194</v>
      </c>
      <c r="B115" s="3" t="s">
        <v>14</v>
      </c>
      <c r="C115" s="3" t="s">
        <v>16</v>
      </c>
      <c r="D115" s="12">
        <f>('Data Used - 1'!F75+'Data Used - 1'!G75+'Data Used - 1'!H75)/'Data Used - 1'!I75</f>
        <v>0.13351302785265048</v>
      </c>
      <c r="E115" s="12">
        <f>'Data Used - 1'!K75/'Data Used - 1'!J75</f>
        <v>7.5321494182486225E-3</v>
      </c>
      <c r="F115" s="10">
        <f>D115+E115</f>
        <v>0.1410451772708991</v>
      </c>
    </row>
    <row r="116" spans="1:6" x14ac:dyDescent="0.3">
      <c r="A116" s="16" t="s">
        <v>220</v>
      </c>
      <c r="B116" s="3" t="s">
        <v>40</v>
      </c>
      <c r="C116" s="3" t="s">
        <v>33</v>
      </c>
      <c r="D116" s="12">
        <f>('Data Used - 1'!F89+'Data Used - 1'!G89+'Data Used - 1'!H89)/'Data Used - 1'!I89</f>
        <v>0.13576158940397351</v>
      </c>
      <c r="E116" s="12">
        <f>'Data Used - 1'!K89/'Data Used - 1'!J89</f>
        <v>5.1124744376278121E-3</v>
      </c>
      <c r="F116" s="10">
        <f>D116+E116</f>
        <v>0.14087406384160131</v>
      </c>
    </row>
    <row r="117" spans="1:6" x14ac:dyDescent="0.3">
      <c r="A117" s="16" t="s">
        <v>148</v>
      </c>
      <c r="B117" s="3" t="s">
        <v>40</v>
      </c>
      <c r="C117" s="3" t="s">
        <v>33</v>
      </c>
      <c r="D117" s="12">
        <f>('Data Used - 1'!F51+'Data Used - 1'!G51+'Data Used - 1'!H51)/'Data Used - 1'!I51</f>
        <v>0.13498547567175018</v>
      </c>
      <c r="E117" s="12">
        <f>'Data Used - 1'!K51/'Data Used - 1'!J51</f>
        <v>5.2611800075159712E-3</v>
      </c>
      <c r="F117" s="10">
        <f>D117+E117</f>
        <v>0.14024665567926614</v>
      </c>
    </row>
    <row r="118" spans="1:6" x14ac:dyDescent="0.3">
      <c r="A118" s="16" t="s">
        <v>528</v>
      </c>
      <c r="B118" s="3" t="s">
        <v>25</v>
      </c>
      <c r="C118" s="3" t="s">
        <v>21</v>
      </c>
      <c r="D118" s="12">
        <f>('Data Used - 1'!F286+'Data Used - 1'!G286+'Data Used - 1'!H286)/'Data Used - 1'!I286</f>
        <v>0.13517919809886983</v>
      </c>
      <c r="E118" s="12">
        <f>'Data Used - 1'!K286/'Data Used - 1'!J286</f>
        <v>4.9007182087029994E-3</v>
      </c>
      <c r="F118" s="10">
        <f>D118+E118</f>
        <v>0.14007991630757283</v>
      </c>
    </row>
    <row r="119" spans="1:6" x14ac:dyDescent="0.3">
      <c r="A119" s="16" t="s">
        <v>527</v>
      </c>
      <c r="B119" s="3" t="s">
        <v>14</v>
      </c>
      <c r="C119" s="3" t="s">
        <v>21</v>
      </c>
      <c r="D119" s="12">
        <f>('Data Used - 1'!F285+'Data Used - 1'!G285+'Data Used - 1'!H285)/'Data Used - 1'!I285</f>
        <v>0.11465952405480581</v>
      </c>
      <c r="E119" s="12">
        <f>'Data Used - 1'!K285/'Data Used - 1'!J285</f>
        <v>2.4527500530898281E-2</v>
      </c>
      <c r="F119" s="10">
        <f>D119+E119</f>
        <v>0.13918702458570409</v>
      </c>
    </row>
    <row r="120" spans="1:6" x14ac:dyDescent="0.3">
      <c r="A120" s="16" t="s">
        <v>60</v>
      </c>
      <c r="B120" s="3" t="s">
        <v>25</v>
      </c>
      <c r="C120" s="3" t="s">
        <v>16</v>
      </c>
      <c r="D120" s="12">
        <f>('Data Used - 1'!F13+'Data Used - 1'!G13+'Data Used - 1'!H13)/'Data Used - 1'!I13</f>
        <v>0.12885405960945528</v>
      </c>
      <c r="E120" s="12">
        <f>'Data Used - 1'!K13/'Data Used - 1'!J13</f>
        <v>9.2681228787746938E-3</v>
      </c>
      <c r="F120" s="10">
        <f>D120+E120</f>
        <v>0.13812218248822997</v>
      </c>
    </row>
    <row r="121" spans="1:6" x14ac:dyDescent="0.3">
      <c r="A121" s="16" t="s">
        <v>250</v>
      </c>
      <c r="B121" s="3" t="s">
        <v>25</v>
      </c>
      <c r="C121" s="3" t="s">
        <v>42</v>
      </c>
      <c r="D121" s="12">
        <f>('Data Used - 1'!F106+'Data Used - 1'!G106+'Data Used - 1'!H106)/'Data Used - 1'!I106</f>
        <v>0.12896028558679162</v>
      </c>
      <c r="E121" s="12">
        <f>'Data Used - 1'!K106/'Data Used - 1'!J106</f>
        <v>8.774335069920482E-3</v>
      </c>
      <c r="F121" s="10">
        <f>D121+E121</f>
        <v>0.1377346206567121</v>
      </c>
    </row>
    <row r="122" spans="1:6" x14ac:dyDescent="0.3">
      <c r="A122" s="16" t="s">
        <v>445</v>
      </c>
      <c r="B122" s="3" t="s">
        <v>40</v>
      </c>
      <c r="C122" s="3" t="s">
        <v>42</v>
      </c>
      <c r="D122" s="12">
        <f>('Data Used - 1'!F230+'Data Used - 1'!G230+'Data Used - 1'!H230)/'Data Used - 1'!I230</f>
        <v>0.13387048227640017</v>
      </c>
      <c r="E122" s="12">
        <f>'Data Used - 1'!K230/'Data Used - 1'!J230</f>
        <v>2.7943544567585487E-3</v>
      </c>
      <c r="F122" s="10">
        <f>D122+E122</f>
        <v>0.13666483673315871</v>
      </c>
    </row>
    <row r="123" spans="1:6" x14ac:dyDescent="0.3">
      <c r="A123" s="16" t="s">
        <v>453</v>
      </c>
      <c r="B123" s="3" t="s">
        <v>40</v>
      </c>
      <c r="C123" s="3" t="s">
        <v>49</v>
      </c>
      <c r="D123" s="12">
        <f>('Data Used - 1'!F236+'Data Used - 1'!G236+'Data Used - 1'!H236)/'Data Used - 1'!I236</f>
        <v>0.1283706906360223</v>
      </c>
      <c r="E123" s="12">
        <f>'Data Used - 1'!K236/'Data Used - 1'!J236</f>
        <v>6.9968644756706541E-3</v>
      </c>
      <c r="F123" s="10">
        <f>D123+E123</f>
        <v>0.13536755511169296</v>
      </c>
    </row>
    <row r="124" spans="1:6" x14ac:dyDescent="0.3">
      <c r="A124" s="16" t="s">
        <v>112</v>
      </c>
      <c r="B124" s="3" t="s">
        <v>40</v>
      </c>
      <c r="C124" s="3" t="s">
        <v>49</v>
      </c>
      <c r="D124" s="12">
        <f>('Data Used - 1'!F34+'Data Used - 1'!G34+'Data Used - 1'!H34)/'Data Used - 1'!I34</f>
        <v>0.12781331438047855</v>
      </c>
      <c r="E124" s="12">
        <f>'Data Used - 1'!K34/'Data Used - 1'!J34</f>
        <v>7.0828632317914003E-3</v>
      </c>
      <c r="F124" s="10">
        <f>D124+E124</f>
        <v>0.13489617761226996</v>
      </c>
    </row>
    <row r="125" spans="1:6" x14ac:dyDescent="0.3">
      <c r="A125" s="16" t="s">
        <v>177</v>
      </c>
      <c r="B125" s="3" t="s">
        <v>40</v>
      </c>
      <c r="C125" s="3" t="s">
        <v>33</v>
      </c>
      <c r="D125" s="12">
        <f>('Data Used - 1'!F66+'Data Used - 1'!G66+'Data Used - 1'!H66)/'Data Used - 1'!I66</f>
        <v>0.11990720603160794</v>
      </c>
      <c r="E125" s="12">
        <f>'Data Used - 1'!K66/'Data Used - 1'!J66</f>
        <v>1.4459398609095913E-2</v>
      </c>
      <c r="F125" s="10">
        <f>D125+E125</f>
        <v>0.13436660464070385</v>
      </c>
    </row>
    <row r="126" spans="1:6" x14ac:dyDescent="0.3">
      <c r="A126" s="16" t="s">
        <v>540</v>
      </c>
      <c r="B126" s="3" t="s">
        <v>31</v>
      </c>
      <c r="C126" s="3" t="s">
        <v>21</v>
      </c>
      <c r="D126" s="12">
        <f>('Data Used - 1'!F294+'Data Used - 1'!G294+'Data Used - 1'!H294)/'Data Used - 1'!I294</f>
        <v>0.12428384068475185</v>
      </c>
      <c r="E126" s="12">
        <f>'Data Used - 1'!K294/'Data Used - 1'!J294</f>
        <v>9.856949683296562E-3</v>
      </c>
      <c r="F126" s="10">
        <f>D126+E126</f>
        <v>0.13414079036804841</v>
      </c>
    </row>
    <row r="127" spans="1:6" x14ac:dyDescent="0.3">
      <c r="A127" s="16" t="s">
        <v>196</v>
      </c>
      <c r="B127" s="3" t="s">
        <v>31</v>
      </c>
      <c r="C127" s="3" t="s">
        <v>16</v>
      </c>
      <c r="D127" s="12">
        <f>('Data Used - 1'!F76+'Data Used - 1'!G76+'Data Used - 1'!H76)/'Data Used - 1'!I76</f>
        <v>0.12131237937689551</v>
      </c>
      <c r="E127" s="12">
        <f>'Data Used - 1'!K76/'Data Used - 1'!J76</f>
        <v>1.2144013715591961E-2</v>
      </c>
      <c r="F127" s="10">
        <f>D127+E127</f>
        <v>0.13345639309248747</v>
      </c>
    </row>
    <row r="128" spans="1:6" x14ac:dyDescent="0.3">
      <c r="A128" s="16" t="s">
        <v>293</v>
      </c>
      <c r="B128" s="3" t="s">
        <v>31</v>
      </c>
      <c r="C128" s="3" t="s">
        <v>16</v>
      </c>
      <c r="D128" s="12">
        <f>('Data Used - 1'!F132+'Data Used - 1'!G132+'Data Used - 1'!H132)/'Data Used - 1'!I132</f>
        <v>0.13106060606060607</v>
      </c>
      <c r="E128" s="12">
        <f>'Data Used - 1'!K132/'Data Used - 1'!J132</f>
        <v>1.3186813186813187E-3</v>
      </c>
      <c r="F128" s="10">
        <f>D128+E128</f>
        <v>0.13237928737928739</v>
      </c>
    </row>
    <row r="129" spans="1:6" x14ac:dyDescent="0.3">
      <c r="A129" s="16" t="s">
        <v>160</v>
      </c>
      <c r="B129" s="3" t="s">
        <v>40</v>
      </c>
      <c r="C129" s="3" t="s">
        <v>42</v>
      </c>
      <c r="D129" s="12">
        <f>('Data Used - 1'!F57+'Data Used - 1'!G57+'Data Used - 1'!H57)/'Data Used - 1'!I57</f>
        <v>0.12936184657162253</v>
      </c>
      <c r="E129" s="12">
        <f>'Data Used - 1'!K57/'Data Used - 1'!J57</f>
        <v>2.1032705857608582E-3</v>
      </c>
      <c r="F129" s="10">
        <f>D129+E129</f>
        <v>0.13146511715738338</v>
      </c>
    </row>
    <row r="130" spans="1:6" x14ac:dyDescent="0.3">
      <c r="A130" s="16" t="s">
        <v>268</v>
      </c>
      <c r="B130" s="3" t="s">
        <v>25</v>
      </c>
      <c r="C130" s="3" t="s">
        <v>33</v>
      </c>
      <c r="D130" s="12">
        <f>('Data Used - 1'!F115+'Data Used - 1'!G115+'Data Used - 1'!H115)/'Data Used - 1'!I115</f>
        <v>0.12942500000000001</v>
      </c>
      <c r="E130" s="12">
        <f>'Data Used - 1'!K115/'Data Used - 1'!J115</f>
        <v>1.1119816017589527E-3</v>
      </c>
      <c r="F130" s="10">
        <f>D130+E130</f>
        <v>0.13053698160175897</v>
      </c>
    </row>
    <row r="131" spans="1:6" x14ac:dyDescent="0.3">
      <c r="A131" s="16" t="s">
        <v>396</v>
      </c>
      <c r="B131" s="3" t="s">
        <v>40</v>
      </c>
      <c r="C131" s="3" t="s">
        <v>21</v>
      </c>
      <c r="D131" s="12">
        <f>('Data Used - 1'!F197+'Data Used - 1'!G197+'Data Used - 1'!H197)/'Data Used - 1'!I197</f>
        <v>0.12575841147269717</v>
      </c>
      <c r="E131" s="12">
        <f>'Data Used - 1'!K197/'Data Used - 1'!J197</f>
        <v>4.4833588269423495E-3</v>
      </c>
      <c r="F131" s="10">
        <f>D131+E131</f>
        <v>0.13024177029963951</v>
      </c>
    </row>
    <row r="132" spans="1:6" x14ac:dyDescent="0.3">
      <c r="A132" s="16" t="s">
        <v>260</v>
      </c>
      <c r="B132" s="3" t="s">
        <v>25</v>
      </c>
      <c r="C132" s="3" t="s">
        <v>16</v>
      </c>
      <c r="D132" s="12">
        <f>('Data Used - 1'!F111+'Data Used - 1'!G111+'Data Used - 1'!H111)/'Data Used - 1'!I111</f>
        <v>0.12277759141227776</v>
      </c>
      <c r="E132" s="12">
        <f>'Data Used - 1'!K111/'Data Used - 1'!J111</f>
        <v>6.9986261955986414E-3</v>
      </c>
      <c r="F132" s="10">
        <f>D132+E132</f>
        <v>0.12977621760787639</v>
      </c>
    </row>
    <row r="133" spans="1:6" x14ac:dyDescent="0.3">
      <c r="A133" s="16" t="s">
        <v>289</v>
      </c>
      <c r="B133" s="3" t="s">
        <v>40</v>
      </c>
      <c r="C133" s="3" t="s">
        <v>49</v>
      </c>
      <c r="D133" s="12">
        <f>('Data Used - 1'!F129+'Data Used - 1'!G129+'Data Used - 1'!H129)/'Data Used - 1'!I129</f>
        <v>0.12537731780940059</v>
      </c>
      <c r="E133" s="12">
        <f>'Data Used - 1'!K129/'Data Used - 1'!J129</f>
        <v>3.7476577139287947E-3</v>
      </c>
      <c r="F133" s="10">
        <f>D133+E133</f>
        <v>0.12912497552332938</v>
      </c>
    </row>
    <row r="134" spans="1:6" x14ac:dyDescent="0.3">
      <c r="A134" s="16" t="s">
        <v>421</v>
      </c>
      <c r="B134" s="3" t="s">
        <v>31</v>
      </c>
      <c r="C134" s="3" t="s">
        <v>71</v>
      </c>
      <c r="D134" s="12">
        <f>('Data Used - 1'!F213+'Data Used - 1'!G213+'Data Used - 1'!H213)/'Data Used - 1'!I213</f>
        <v>0.123309241094476</v>
      </c>
      <c r="E134" s="12">
        <f>'Data Used - 1'!K213/'Data Used - 1'!J213</f>
        <v>5.6806391367503631E-3</v>
      </c>
      <c r="F134" s="10">
        <f>D134+E134</f>
        <v>0.12898988023122637</v>
      </c>
    </row>
    <row r="135" spans="1:6" x14ac:dyDescent="0.3">
      <c r="A135" s="16" t="s">
        <v>122</v>
      </c>
      <c r="B135" s="3" t="s">
        <v>40</v>
      </c>
      <c r="C135" s="3" t="s">
        <v>16</v>
      </c>
      <c r="D135" s="12">
        <f>('Data Used - 1'!F39+'Data Used - 1'!G39+'Data Used - 1'!H39)/'Data Used - 1'!I39</f>
        <v>0.12577012959422137</v>
      </c>
      <c r="E135" s="12">
        <f>'Data Used - 1'!K39/'Data Used - 1'!J39</f>
        <v>3.1578947368421052E-3</v>
      </c>
      <c r="F135" s="10">
        <f>D135+E135</f>
        <v>0.12892802433106348</v>
      </c>
    </row>
    <row r="136" spans="1:6" x14ac:dyDescent="0.3">
      <c r="A136" s="16" t="s">
        <v>274</v>
      </c>
      <c r="B136" s="3" t="s">
        <v>40</v>
      </c>
      <c r="C136" s="3" t="s">
        <v>49</v>
      </c>
      <c r="D136" s="12">
        <f>('Data Used - 1'!F118+'Data Used - 1'!G118+'Data Used - 1'!H118)/'Data Used - 1'!I118</f>
        <v>0.11792317271769326</v>
      </c>
      <c r="E136" s="12">
        <f>'Data Used - 1'!K118/'Data Used - 1'!J118</f>
        <v>1.0846953937592867E-2</v>
      </c>
      <c r="F136" s="10">
        <f>D136+E136</f>
        <v>0.12877012665528612</v>
      </c>
    </row>
    <row r="137" spans="1:6" x14ac:dyDescent="0.3">
      <c r="A137" s="16" t="s">
        <v>188</v>
      </c>
      <c r="B137" s="3" t="s">
        <v>14</v>
      </c>
      <c r="C137" s="3" t="s">
        <v>42</v>
      </c>
      <c r="D137" s="12">
        <f>('Data Used - 1'!F72+'Data Used - 1'!G72+'Data Used - 1'!H72)/'Data Used - 1'!I72</f>
        <v>0.1199202926956749</v>
      </c>
      <c r="E137" s="12">
        <f>'Data Used - 1'!K72/'Data Used - 1'!J72</f>
        <v>7.4769433465085638E-3</v>
      </c>
      <c r="F137" s="10">
        <f>D137+E137</f>
        <v>0.12739723604218348</v>
      </c>
    </row>
    <row r="138" spans="1:6" x14ac:dyDescent="0.3">
      <c r="A138" s="16" t="s">
        <v>352</v>
      </c>
      <c r="B138" s="3" t="s">
        <v>31</v>
      </c>
      <c r="C138" s="3" t="s">
        <v>71</v>
      </c>
      <c r="D138" s="12">
        <f>('Data Used - 1'!F170+'Data Used - 1'!G170+'Data Used - 1'!H170)/'Data Used - 1'!I170</f>
        <v>0.12490884163239112</v>
      </c>
      <c r="E138" s="12">
        <f>'Data Used - 1'!K170/'Data Used - 1'!J170</f>
        <v>2.4750998986103655E-3</v>
      </c>
      <c r="F138" s="10">
        <f>D138+E138</f>
        <v>0.12738394153100149</v>
      </c>
    </row>
    <row r="139" spans="1:6" x14ac:dyDescent="0.3">
      <c r="A139" s="16" t="s">
        <v>116</v>
      </c>
      <c r="B139" s="3" t="s">
        <v>25</v>
      </c>
      <c r="C139" s="3" t="s">
        <v>71</v>
      </c>
      <c r="D139" s="12">
        <f>('Data Used - 1'!F36+'Data Used - 1'!G36+'Data Used - 1'!H36)/'Data Used - 1'!I36</f>
        <v>0.11861662987490802</v>
      </c>
      <c r="E139" s="12">
        <f>'Data Used - 1'!K36/'Data Used - 1'!J36</f>
        <v>8.1356949864905426E-3</v>
      </c>
      <c r="F139" s="10">
        <f>D139+E139</f>
        <v>0.12675232486139856</v>
      </c>
    </row>
    <row r="140" spans="1:6" x14ac:dyDescent="0.3">
      <c r="A140" s="16" t="s">
        <v>467</v>
      </c>
      <c r="B140" s="3" t="s">
        <v>40</v>
      </c>
      <c r="C140" s="3" t="s">
        <v>16</v>
      </c>
      <c r="D140" s="12">
        <f>('Data Used - 1'!F246+'Data Used - 1'!G246+'Data Used - 1'!H246)/'Data Used - 1'!I246</f>
        <v>0.12232704402515723</v>
      </c>
      <c r="E140" s="12">
        <f>'Data Used - 1'!K246/'Data Used - 1'!J246</f>
        <v>4.3118148599269185E-3</v>
      </c>
      <c r="F140" s="10">
        <f>D140+E140</f>
        <v>0.12663885888508414</v>
      </c>
    </row>
    <row r="141" spans="1:6" x14ac:dyDescent="0.3">
      <c r="A141" s="16" t="s">
        <v>483</v>
      </c>
      <c r="B141" s="3" t="s">
        <v>40</v>
      </c>
      <c r="C141" s="3" t="s">
        <v>33</v>
      </c>
      <c r="D141" s="12">
        <f>('Data Used - 1'!F256+'Data Used - 1'!G256+'Data Used - 1'!H256)/'Data Used - 1'!I256</f>
        <v>0.11996283514733209</v>
      </c>
      <c r="E141" s="12">
        <f>'Data Used - 1'!K256/'Data Used - 1'!J256</f>
        <v>6.1401363871002798E-3</v>
      </c>
      <c r="F141" s="10">
        <f>D141+E141</f>
        <v>0.12610297153443237</v>
      </c>
    </row>
    <row r="142" spans="1:6" x14ac:dyDescent="0.3">
      <c r="A142" s="16" t="s">
        <v>476</v>
      </c>
      <c r="B142" s="3" t="s">
        <v>40</v>
      </c>
      <c r="C142" s="3" t="s">
        <v>42</v>
      </c>
      <c r="D142" s="12">
        <f>('Data Used - 1'!F252+'Data Used - 1'!G252+'Data Used - 1'!H252)/'Data Used - 1'!I252</f>
        <v>0.11619462599854757</v>
      </c>
      <c r="E142" s="12">
        <f>'Data Used - 1'!K252/'Data Used - 1'!J252</f>
        <v>8.6423704787598893E-3</v>
      </c>
      <c r="F142" s="10">
        <f>D142+E142</f>
        <v>0.12483699647730746</v>
      </c>
    </row>
    <row r="143" spans="1:6" x14ac:dyDescent="0.3">
      <c r="A143" s="16" t="s">
        <v>471</v>
      </c>
      <c r="B143" s="3" t="s">
        <v>40</v>
      </c>
      <c r="C143" s="3" t="s">
        <v>16</v>
      </c>
      <c r="D143" s="12">
        <f>('Data Used - 1'!F248+'Data Used - 1'!G248+'Data Used - 1'!H248)/'Data Used - 1'!I248</f>
        <v>0.11879910213243547</v>
      </c>
      <c r="E143" s="12">
        <f>'Data Used - 1'!K248/'Data Used - 1'!J248</f>
        <v>5.9684361549497845E-3</v>
      </c>
      <c r="F143" s="10">
        <f>D143+E143</f>
        <v>0.12476753828738525</v>
      </c>
    </row>
    <row r="144" spans="1:6" x14ac:dyDescent="0.3">
      <c r="A144" s="16" t="s">
        <v>329</v>
      </c>
      <c r="B144" s="3" t="s">
        <v>31</v>
      </c>
      <c r="C144" s="3" t="s">
        <v>49</v>
      </c>
      <c r="D144" s="12">
        <f>('Data Used - 1'!F156+'Data Used - 1'!G156+'Data Used - 1'!H156)/'Data Used - 1'!I156</f>
        <v>0.11489268506351293</v>
      </c>
      <c r="E144" s="12">
        <f>'Data Used - 1'!K156/'Data Used - 1'!J156</f>
        <v>6.3226776318698321E-3</v>
      </c>
      <c r="F144" s="10">
        <f>D144+E144</f>
        <v>0.12121536269538276</v>
      </c>
    </row>
    <row r="145" spans="1:6" x14ac:dyDescent="0.3">
      <c r="A145" s="16" t="s">
        <v>340</v>
      </c>
      <c r="B145" s="3" t="s">
        <v>40</v>
      </c>
      <c r="C145" s="3" t="s">
        <v>21</v>
      </c>
      <c r="D145" s="12">
        <f>('Data Used - 1'!F162+'Data Used - 1'!G162+'Data Used - 1'!H162)/'Data Used - 1'!I162</f>
        <v>0.11508145034156594</v>
      </c>
      <c r="E145" s="12">
        <f>'Data Used - 1'!K162/'Data Used - 1'!J162</f>
        <v>4.8452486898052016E-3</v>
      </c>
      <c r="F145" s="10">
        <f>D145+E145</f>
        <v>0.11992669903137114</v>
      </c>
    </row>
    <row r="146" spans="1:6" x14ac:dyDescent="0.3">
      <c r="A146" s="16" t="s">
        <v>57</v>
      </c>
      <c r="B146" s="3" t="s">
        <v>31</v>
      </c>
      <c r="C146" s="3" t="s">
        <v>33</v>
      </c>
      <c r="D146" s="12">
        <f>('Data Used - 1'!F12+'Data Used - 1'!G12+'Data Used - 1'!H12)/'Data Used - 1'!I12</f>
        <v>0.11571269132653061</v>
      </c>
      <c r="E146" s="12">
        <f>'Data Used - 1'!K12/'Data Used - 1'!J12</f>
        <v>2.6342451874366768E-3</v>
      </c>
      <c r="F146" s="10">
        <f>D146+E146</f>
        <v>0.11834693651396729</v>
      </c>
    </row>
    <row r="147" spans="1:6" x14ac:dyDescent="0.3">
      <c r="A147" s="16" t="s">
        <v>517</v>
      </c>
      <c r="B147" s="3" t="s">
        <v>25</v>
      </c>
      <c r="C147" s="3" t="s">
        <v>21</v>
      </c>
      <c r="D147" s="12">
        <f>('Data Used - 1'!F279+'Data Used - 1'!G279+'Data Used - 1'!H279)/'Data Used - 1'!I279</f>
        <v>0.11114018842096787</v>
      </c>
      <c r="E147" s="12">
        <f>'Data Used - 1'!K279/'Data Used - 1'!J279</f>
        <v>5.72507460868506E-3</v>
      </c>
      <c r="F147" s="10">
        <f>D147+E147</f>
        <v>0.11686526302965293</v>
      </c>
    </row>
    <row r="148" spans="1:6" x14ac:dyDescent="0.3">
      <c r="A148" s="16" t="s">
        <v>331</v>
      </c>
      <c r="B148" s="3" t="s">
        <v>14</v>
      </c>
      <c r="C148" s="3" t="s">
        <v>42</v>
      </c>
      <c r="D148" s="12">
        <f>('Data Used - 1'!F157+'Data Used - 1'!G157+'Data Used - 1'!H157)/'Data Used - 1'!I157</f>
        <v>0.1095786671562328</v>
      </c>
      <c r="E148" s="12">
        <f>'Data Used - 1'!K157/'Data Used - 1'!J157</f>
        <v>5.5378651529835246E-3</v>
      </c>
      <c r="F148" s="10">
        <f>D148+E148</f>
        <v>0.11511653230921631</v>
      </c>
    </row>
    <row r="149" spans="1:6" x14ac:dyDescent="0.3">
      <c r="A149" s="16" t="s">
        <v>335</v>
      </c>
      <c r="B149" s="3" t="s">
        <v>25</v>
      </c>
      <c r="C149" s="3" t="s">
        <v>33</v>
      </c>
      <c r="D149" s="12">
        <f>('Data Used - 1'!F159+'Data Used - 1'!G159+'Data Used - 1'!H159)/'Data Used - 1'!I159</f>
        <v>0.11307081114118571</v>
      </c>
      <c r="E149" s="12">
        <f>'Data Used - 1'!K159/'Data Used - 1'!J159</f>
        <v>1.1402508551881414E-3</v>
      </c>
      <c r="F149" s="10">
        <f>D149+E149</f>
        <v>0.11421106199637385</v>
      </c>
    </row>
    <row r="150" spans="1:6" x14ac:dyDescent="0.3">
      <c r="A150" s="16" t="s">
        <v>412</v>
      </c>
      <c r="B150" s="3" t="s">
        <v>25</v>
      </c>
      <c r="C150" s="3" t="s">
        <v>21</v>
      </c>
      <c r="D150" s="12">
        <f>('Data Used - 1'!F207+'Data Used - 1'!G207+'Data Used - 1'!H207)/'Data Used - 1'!I207</f>
        <v>0.10768685795253277</v>
      </c>
      <c r="E150" s="12">
        <f>'Data Used - 1'!K207/'Data Used - 1'!J207</f>
        <v>6.2870356988004045E-3</v>
      </c>
      <c r="F150" s="10">
        <f>D150+E150</f>
        <v>0.11397389365133317</v>
      </c>
    </row>
    <row r="151" spans="1:6" x14ac:dyDescent="0.3">
      <c r="A151" s="16" t="s">
        <v>266</v>
      </c>
      <c r="B151" s="3" t="s">
        <v>31</v>
      </c>
      <c r="C151" s="3" t="s">
        <v>42</v>
      </c>
      <c r="D151" s="12">
        <f>('Data Used - 1'!F114+'Data Used - 1'!G114+'Data Used - 1'!H114)/'Data Used - 1'!I114</f>
        <v>0.11369088028965829</v>
      </c>
      <c r="E151" s="12">
        <f>'Data Used - 1'!K114/'Data Used - 1'!J114</f>
        <v>2.2945252627231425E-4</v>
      </c>
      <c r="F151" s="10">
        <f>D151+E151</f>
        <v>0.1139203328159306</v>
      </c>
    </row>
    <row r="152" spans="1:6" x14ac:dyDescent="0.3">
      <c r="A152" s="16" t="s">
        <v>323</v>
      </c>
      <c r="B152" s="3" t="s">
        <v>31</v>
      </c>
      <c r="C152" s="3" t="s">
        <v>49</v>
      </c>
      <c r="D152" s="12">
        <f>('Data Used - 1'!F152+'Data Used - 1'!G152+'Data Used - 1'!H152)/'Data Used - 1'!I152</f>
        <v>0.10977802753582468</v>
      </c>
      <c r="E152" s="12">
        <f>'Data Used - 1'!K152/'Data Used - 1'!J152</f>
        <v>3.4752884204529268E-3</v>
      </c>
      <c r="F152" s="10">
        <f>D152+E152</f>
        <v>0.11325331595627761</v>
      </c>
    </row>
    <row r="153" spans="1:6" x14ac:dyDescent="0.3">
      <c r="A153" s="16" t="s">
        <v>238</v>
      </c>
      <c r="B153" s="3" t="s">
        <v>14</v>
      </c>
      <c r="C153" s="3" t="s">
        <v>33</v>
      </c>
      <c r="D153" s="12">
        <f>('Data Used - 1'!F99+'Data Used - 1'!G99+'Data Used - 1'!H99)/'Data Used - 1'!I99</f>
        <v>0.11238095238095239</v>
      </c>
      <c r="E153" s="12">
        <f>'Data Used - 1'!K99/'Data Used - 1'!J99</f>
        <v>6.847659711592685E-4</v>
      </c>
      <c r="F153" s="10">
        <f>D153+E153</f>
        <v>0.11306571835211165</v>
      </c>
    </row>
    <row r="154" spans="1:6" x14ac:dyDescent="0.3">
      <c r="A154" s="16" t="s">
        <v>433</v>
      </c>
      <c r="B154" s="3" t="s">
        <v>40</v>
      </c>
      <c r="C154" s="3" t="s">
        <v>16</v>
      </c>
      <c r="D154" s="12">
        <f>('Data Used - 1'!F223+'Data Used - 1'!G223+'Data Used - 1'!H223)/'Data Used - 1'!I223</f>
        <v>0.11143487163332809</v>
      </c>
      <c r="E154" s="12">
        <f>'Data Used - 1'!K223/'Data Used - 1'!J223</f>
        <v>1.5423554536106937E-3</v>
      </c>
      <c r="F154" s="10">
        <f>D154+E154</f>
        <v>0.11297722708693879</v>
      </c>
    </row>
    <row r="155" spans="1:6" x14ac:dyDescent="0.3">
      <c r="A155" s="16" t="s">
        <v>146</v>
      </c>
      <c r="B155" s="3" t="s">
        <v>31</v>
      </c>
      <c r="C155" s="3" t="s">
        <v>33</v>
      </c>
      <c r="D155" s="12">
        <f>('Data Used - 1'!F50+'Data Used - 1'!G50+'Data Used - 1'!H50)/'Data Used - 1'!I50</f>
        <v>0.10617801791554102</v>
      </c>
      <c r="E155" s="12">
        <f>'Data Used - 1'!K50/'Data Used - 1'!J50</f>
        <v>6.4690618032966635E-3</v>
      </c>
      <c r="F155" s="10">
        <f>D155+E155</f>
        <v>0.11264707971883768</v>
      </c>
    </row>
    <row r="156" spans="1:6" x14ac:dyDescent="0.3">
      <c r="A156" s="16" t="s">
        <v>333</v>
      </c>
      <c r="B156" s="3" t="s">
        <v>14</v>
      </c>
      <c r="C156" s="3" t="s">
        <v>33</v>
      </c>
      <c r="D156" s="12">
        <f>('Data Used - 1'!F158+'Data Used - 1'!G158+'Data Used - 1'!H158)/'Data Used - 1'!I158</f>
        <v>0.10793717277486911</v>
      </c>
      <c r="E156" s="12">
        <f>'Data Used - 1'!K158/'Data Used - 1'!J158</f>
        <v>3.9331987211845866E-3</v>
      </c>
      <c r="F156" s="10">
        <f>D156+E156</f>
        <v>0.11187037149605369</v>
      </c>
    </row>
    <row r="157" spans="1:6" x14ac:dyDescent="0.3">
      <c r="A157" s="16" t="s">
        <v>234</v>
      </c>
      <c r="B157" s="3" t="s">
        <v>14</v>
      </c>
      <c r="C157" s="3" t="s">
        <v>49</v>
      </c>
      <c r="D157" s="12">
        <f>('Data Used - 1'!F97+'Data Used - 1'!G97+'Data Used - 1'!H97)/'Data Used - 1'!I97</f>
        <v>0.10339256865912763</v>
      </c>
      <c r="E157" s="12">
        <f>'Data Used - 1'!K97/'Data Used - 1'!J97</f>
        <v>6.3618495913934005E-3</v>
      </c>
      <c r="F157" s="10">
        <f>D157+E157</f>
        <v>0.10975441825052103</v>
      </c>
    </row>
    <row r="158" spans="1:6" x14ac:dyDescent="0.3">
      <c r="A158" s="16" t="s">
        <v>205</v>
      </c>
      <c r="B158" s="3" t="s">
        <v>25</v>
      </c>
      <c r="C158" s="3" t="s">
        <v>33</v>
      </c>
      <c r="D158" s="12">
        <f>('Data Used - 1'!F82+'Data Used - 1'!G82+'Data Used - 1'!H82)/'Data Used - 1'!I82</f>
        <v>9.4413295955146179E-2</v>
      </c>
      <c r="E158" s="12">
        <f>'Data Used - 1'!K82/'Data Used - 1'!J82</f>
        <v>1.4692139964697332E-2</v>
      </c>
      <c r="F158" s="10">
        <f>D158+E158</f>
        <v>0.10910543591984351</v>
      </c>
    </row>
    <row r="159" spans="1:6" x14ac:dyDescent="0.3">
      <c r="A159" s="16" t="s">
        <v>523</v>
      </c>
      <c r="B159" s="3" t="s">
        <v>25</v>
      </c>
      <c r="C159" s="3" t="s">
        <v>71</v>
      </c>
      <c r="D159" s="12">
        <f>('Data Used - 1'!F283+'Data Used - 1'!G283+'Data Used - 1'!H283)/'Data Used - 1'!I283</f>
        <v>0.1071650124069479</v>
      </c>
      <c r="E159" s="12">
        <f>'Data Used - 1'!K283/'Data Used - 1'!J283</f>
        <v>1.6308779559662953E-3</v>
      </c>
      <c r="F159" s="10">
        <f>D159+E159</f>
        <v>0.10879589036291419</v>
      </c>
    </row>
    <row r="160" spans="1:6" x14ac:dyDescent="0.3">
      <c r="A160" s="16" t="s">
        <v>411</v>
      </c>
      <c r="B160" s="3" t="s">
        <v>40</v>
      </c>
      <c r="C160" s="3" t="s">
        <v>71</v>
      </c>
      <c r="D160" s="12">
        <f>('Data Used - 1'!F206+'Data Used - 1'!G206+'Data Used - 1'!H206)/'Data Used - 1'!I206</f>
        <v>0.1043848167539267</v>
      </c>
      <c r="E160" s="12">
        <f>'Data Used - 1'!K206/'Data Used - 1'!J206</f>
        <v>3.747452389822708E-3</v>
      </c>
      <c r="F160" s="10">
        <f>D160+E160</f>
        <v>0.10813226914374942</v>
      </c>
    </row>
    <row r="161" spans="1:6" x14ac:dyDescent="0.3">
      <c r="A161" s="16" t="s">
        <v>80</v>
      </c>
      <c r="B161" s="3" t="s">
        <v>31</v>
      </c>
      <c r="C161" s="3" t="s">
        <v>71</v>
      </c>
      <c r="D161" s="12">
        <f>('Data Used - 1'!F20+'Data Used - 1'!G20+'Data Used - 1'!H20)/'Data Used - 1'!I20</f>
        <v>0.10034235916588857</v>
      </c>
      <c r="E161" s="12">
        <f>'Data Used - 1'!K20/'Data Used - 1'!J20</f>
        <v>6.4922786006933499E-3</v>
      </c>
      <c r="F161" s="10">
        <f>D161+E161</f>
        <v>0.10683463776658192</v>
      </c>
    </row>
    <row r="162" spans="1:6" x14ac:dyDescent="0.3">
      <c r="A162" s="16" t="s">
        <v>474</v>
      </c>
      <c r="B162" s="3" t="s">
        <v>40</v>
      </c>
      <c r="C162" s="3" t="s">
        <v>49</v>
      </c>
      <c r="D162" s="12">
        <f>('Data Used - 1'!F250+'Data Used - 1'!G250+'Data Used - 1'!H250)/'Data Used - 1'!I250</f>
        <v>8.7733440816874911E-2</v>
      </c>
      <c r="E162" s="12">
        <f>'Data Used - 1'!K250/'Data Used - 1'!J250</f>
        <v>1.7977209993630124E-2</v>
      </c>
      <c r="F162" s="10">
        <f>D162+E162</f>
        <v>0.10571065081050504</v>
      </c>
    </row>
    <row r="163" spans="1:6" x14ac:dyDescent="0.3">
      <c r="A163" s="16" t="s">
        <v>510</v>
      </c>
      <c r="B163" s="3" t="s">
        <v>40</v>
      </c>
      <c r="C163" s="3" t="s">
        <v>33</v>
      </c>
      <c r="D163" s="12">
        <f>('Data Used - 1'!F274+'Data Used - 1'!G274+'Data Used - 1'!H274)/'Data Used - 1'!I274</f>
        <v>9.7700431949264685E-2</v>
      </c>
      <c r="E163" s="12">
        <f>'Data Used - 1'!K274/'Data Used - 1'!J274</f>
        <v>7.5281670439227852E-3</v>
      </c>
      <c r="F163" s="10">
        <f>D163+E163</f>
        <v>0.10522859899318747</v>
      </c>
    </row>
    <row r="164" spans="1:6" x14ac:dyDescent="0.3">
      <c r="A164" s="16" t="s">
        <v>190</v>
      </c>
      <c r="B164" s="3" t="s">
        <v>31</v>
      </c>
      <c r="C164" s="3" t="s">
        <v>16</v>
      </c>
      <c r="D164" s="12">
        <f>('Data Used - 1'!F73+'Data Used - 1'!G73+'Data Used - 1'!H73)/'Data Used - 1'!I73</f>
        <v>8.837126600284495E-2</v>
      </c>
      <c r="E164" s="12">
        <f>'Data Used - 1'!K73/'Data Used - 1'!J73</f>
        <v>1.6797098682954762E-2</v>
      </c>
      <c r="F164" s="10">
        <f>D164+E164</f>
        <v>0.10516836468579971</v>
      </c>
    </row>
    <row r="165" spans="1:6" x14ac:dyDescent="0.3">
      <c r="A165" s="16" t="s">
        <v>246</v>
      </c>
      <c r="B165" s="3" t="s">
        <v>40</v>
      </c>
      <c r="C165" s="3" t="s">
        <v>49</v>
      </c>
      <c r="D165" s="12">
        <f>('Data Used - 1'!F104+'Data Used - 1'!G104+'Data Used - 1'!H104)/'Data Used - 1'!I104</f>
        <v>9.9632815002833983E-2</v>
      </c>
      <c r="E165" s="12">
        <f>'Data Used - 1'!K104/'Data Used - 1'!J104</f>
        <v>5.3551581287258768E-3</v>
      </c>
      <c r="F165" s="10">
        <f>D165+E165</f>
        <v>0.10498797313155986</v>
      </c>
    </row>
    <row r="166" spans="1:6" x14ac:dyDescent="0.3">
      <c r="A166" s="16" t="s">
        <v>135</v>
      </c>
      <c r="B166" s="3" t="s">
        <v>40</v>
      </c>
      <c r="C166" s="3" t="s">
        <v>49</v>
      </c>
      <c r="D166" s="12">
        <f>('Data Used - 1'!F45+'Data Used - 1'!G45+'Data Used - 1'!H45)/'Data Used - 1'!I45</f>
        <v>9.8558100084817649E-2</v>
      </c>
      <c r="E166" s="12">
        <f>'Data Used - 1'!K45/'Data Used - 1'!J45</f>
        <v>6.2654097171863671E-3</v>
      </c>
      <c r="F166" s="10">
        <f>D166+E166</f>
        <v>0.10482350980200401</v>
      </c>
    </row>
    <row r="167" spans="1:6" x14ac:dyDescent="0.3">
      <c r="A167" s="16" t="s">
        <v>374</v>
      </c>
      <c r="B167" s="3" t="s">
        <v>31</v>
      </c>
      <c r="C167" s="3" t="s">
        <v>49</v>
      </c>
      <c r="D167" s="12">
        <f>('Data Used - 1'!F183+'Data Used - 1'!G183+'Data Used - 1'!H183)/'Data Used - 1'!I183</f>
        <v>0.10132030477519921</v>
      </c>
      <c r="E167" s="12">
        <f>'Data Used - 1'!K183/'Data Used - 1'!J183</f>
        <v>3.3972193857513158E-3</v>
      </c>
      <c r="F167" s="10">
        <f>D167+E167</f>
        <v>0.10471752416095052</v>
      </c>
    </row>
    <row r="168" spans="1:6" x14ac:dyDescent="0.3">
      <c r="A168" s="16" t="s">
        <v>47</v>
      </c>
      <c r="B168" s="3" t="s">
        <v>25</v>
      </c>
      <c r="C168" s="3" t="s">
        <v>49</v>
      </c>
      <c r="D168" s="12">
        <f>('Data Used - 1'!F9+'Data Used - 1'!G9+'Data Used - 1'!H9)/'Data Used - 1'!I9</f>
        <v>0.10340359564080613</v>
      </c>
      <c r="E168" s="12">
        <f>'Data Used - 1'!K9/'Data Used - 1'!J9</f>
        <v>9.1034289582409369E-4</v>
      </c>
      <c r="F168" s="10">
        <f>D168+E168</f>
        <v>0.10431393853663022</v>
      </c>
    </row>
    <row r="169" spans="1:6" x14ac:dyDescent="0.3">
      <c r="A169" s="16" t="s">
        <v>256</v>
      </c>
      <c r="B169" s="3" t="s">
        <v>14</v>
      </c>
      <c r="C169" s="3" t="s">
        <v>71</v>
      </c>
      <c r="D169" s="12">
        <f>('Data Used - 1'!F109+'Data Used - 1'!G109+'Data Used - 1'!H109)/'Data Used - 1'!I109</f>
        <v>0.10005698005698006</v>
      </c>
      <c r="E169" s="12">
        <f>'Data Used - 1'!K109/'Data Used - 1'!J109</f>
        <v>4.0382571732199791E-3</v>
      </c>
      <c r="F169" s="10">
        <f>D169+E169</f>
        <v>0.10409523723020005</v>
      </c>
    </row>
    <row r="170" spans="1:6" x14ac:dyDescent="0.3">
      <c r="A170" s="16" t="s">
        <v>77</v>
      </c>
      <c r="B170" s="3" t="s">
        <v>31</v>
      </c>
      <c r="C170" s="3" t="s">
        <v>16</v>
      </c>
      <c r="D170" s="12">
        <f>('Data Used - 1'!F19+'Data Used - 1'!G19+'Data Used - 1'!H19)/'Data Used - 1'!I19</f>
        <v>0.10297222222222223</v>
      </c>
      <c r="E170" s="12">
        <f>'Data Used - 1'!K19/'Data Used - 1'!J19</f>
        <v>5.3044473603394845E-4</v>
      </c>
      <c r="F170" s="10">
        <f>D170+E170</f>
        <v>0.10350266695825618</v>
      </c>
    </row>
    <row r="171" spans="1:6" x14ac:dyDescent="0.3">
      <c r="A171" s="16" t="s">
        <v>391</v>
      </c>
      <c r="B171" s="3" t="s">
        <v>14</v>
      </c>
      <c r="C171" s="3" t="s">
        <v>49</v>
      </c>
      <c r="D171" s="12">
        <f>('Data Used - 1'!F194+'Data Used - 1'!G194+'Data Used - 1'!H194)/'Data Used - 1'!I194</f>
        <v>9.9255211647142488E-2</v>
      </c>
      <c r="E171" s="12">
        <f>'Data Used - 1'!K194/'Data Used - 1'!J194</f>
        <v>4.2325431320819175E-3</v>
      </c>
      <c r="F171" s="10">
        <f>D171+E171</f>
        <v>0.10348775477922441</v>
      </c>
    </row>
    <row r="172" spans="1:6" x14ac:dyDescent="0.3">
      <c r="A172" s="16" t="s">
        <v>287</v>
      </c>
      <c r="B172" s="3" t="s">
        <v>14</v>
      </c>
      <c r="C172" s="3" t="s">
        <v>42</v>
      </c>
      <c r="D172" s="12">
        <f>('Data Used - 1'!F127+'Data Used - 1'!G127+'Data Used - 1'!H127)/'Data Used - 1'!I127</f>
        <v>9.9829463465827106E-2</v>
      </c>
      <c r="E172" s="12">
        <f>'Data Used - 1'!K127/'Data Used - 1'!J127</f>
        <v>3.1427749374764846E-3</v>
      </c>
      <c r="F172" s="10">
        <f>D172+E172</f>
        <v>0.10297223840330359</v>
      </c>
    </row>
    <row r="173" spans="1:6" x14ac:dyDescent="0.3">
      <c r="A173" s="16" t="s">
        <v>349</v>
      </c>
      <c r="B173" s="3" t="s">
        <v>25</v>
      </c>
      <c r="C173" s="3" t="s">
        <v>21</v>
      </c>
      <c r="D173" s="12">
        <f>('Data Used - 1'!F168+'Data Used - 1'!G168+'Data Used - 1'!H168)/'Data Used - 1'!I168</f>
        <v>9.859917557465242E-2</v>
      </c>
      <c r="E173" s="12">
        <f>'Data Used - 1'!K168/'Data Used - 1'!J168</f>
        <v>2.6606122955762888E-3</v>
      </c>
      <c r="F173" s="10">
        <f>D173+E173</f>
        <v>0.10125978787022871</v>
      </c>
    </row>
    <row r="174" spans="1:6" x14ac:dyDescent="0.3">
      <c r="A174" s="16" t="s">
        <v>500</v>
      </c>
      <c r="B174" s="3" t="s">
        <v>25</v>
      </c>
      <c r="C174" s="3" t="s">
        <v>33</v>
      </c>
      <c r="D174" s="12">
        <f>('Data Used - 1'!F267+'Data Used - 1'!G267+'Data Used - 1'!H267)/'Data Used - 1'!I267</f>
        <v>0.10086880280567512</v>
      </c>
      <c r="E174" s="12">
        <f>'Data Used - 1'!K267/'Data Used - 1'!J267</f>
        <v>2.0263013920690564E-4</v>
      </c>
      <c r="F174" s="10">
        <f>D174+E174</f>
        <v>0.10107143294488202</v>
      </c>
    </row>
    <row r="175" spans="1:6" x14ac:dyDescent="0.3">
      <c r="A175" s="16" t="s">
        <v>158</v>
      </c>
      <c r="B175" s="3" t="s">
        <v>14</v>
      </c>
      <c r="C175" s="3" t="s">
        <v>49</v>
      </c>
      <c r="D175" s="12">
        <f>('Data Used - 1'!F56+'Data Used - 1'!G56+'Data Used - 1'!H56)/'Data Used - 1'!I56</f>
        <v>9.1897770527460579E-2</v>
      </c>
      <c r="E175" s="12">
        <f>'Data Used - 1'!K56/'Data Used - 1'!J56</f>
        <v>8.7550715353405945E-3</v>
      </c>
      <c r="F175" s="10">
        <f>D175+E175</f>
        <v>0.10065284206280117</v>
      </c>
    </row>
    <row r="176" spans="1:6" x14ac:dyDescent="0.3">
      <c r="A176" s="16" t="s">
        <v>388</v>
      </c>
      <c r="B176" s="3" t="s">
        <v>40</v>
      </c>
      <c r="C176" s="3" t="s">
        <v>33</v>
      </c>
      <c r="D176" s="12">
        <f>('Data Used - 1'!F192+'Data Used - 1'!G192+'Data Used - 1'!H192)/'Data Used - 1'!I192</f>
        <v>9.9578134817341346E-2</v>
      </c>
      <c r="E176" s="12">
        <f>'Data Used - 1'!K192/'Data Used - 1'!J192</f>
        <v>9.1799265605875156E-4</v>
      </c>
      <c r="F176" s="10">
        <f>D176+E176</f>
        <v>0.1004961274734001</v>
      </c>
    </row>
    <row r="177" spans="1:6" x14ac:dyDescent="0.3">
      <c r="A177" s="16" t="s">
        <v>207</v>
      </c>
      <c r="B177" s="3" t="s">
        <v>31</v>
      </c>
      <c r="C177" s="3" t="s">
        <v>49</v>
      </c>
      <c r="D177" s="12">
        <f>('Data Used - 1'!F83+'Data Used - 1'!G83+'Data Used - 1'!H83)/'Data Used - 1'!I83</f>
        <v>8.558620689655172E-2</v>
      </c>
      <c r="E177" s="12">
        <f>'Data Used - 1'!K83/'Data Used - 1'!J83</f>
        <v>1.4665982254161472E-2</v>
      </c>
      <c r="F177" s="10">
        <f>D177+E177</f>
        <v>0.1002521891507132</v>
      </c>
    </row>
    <row r="178" spans="1:6" x14ac:dyDescent="0.3">
      <c r="A178" s="16" t="s">
        <v>356</v>
      </c>
      <c r="B178" s="3" t="s">
        <v>25</v>
      </c>
      <c r="C178" s="3" t="s">
        <v>71</v>
      </c>
      <c r="D178" s="12">
        <f>('Data Used - 1'!F172+'Data Used - 1'!G172+'Data Used - 1'!H172)/'Data Used - 1'!I172</f>
        <v>9.8068107400130972E-2</v>
      </c>
      <c r="E178" s="12">
        <f>'Data Used - 1'!K172/'Data Used - 1'!J172</f>
        <v>2.0920502092050207E-3</v>
      </c>
      <c r="F178" s="10">
        <f>D178+E178</f>
        <v>0.100160157609336</v>
      </c>
    </row>
    <row r="179" spans="1:6" x14ac:dyDescent="0.3">
      <c r="A179" s="16" t="s">
        <v>185</v>
      </c>
      <c r="B179" s="3" t="s">
        <v>40</v>
      </c>
      <c r="C179" s="3" t="s">
        <v>21</v>
      </c>
      <c r="D179" s="12">
        <f>('Data Used - 1'!F70+'Data Used - 1'!G70+'Data Used - 1'!H70)/'Data Used - 1'!I70</f>
        <v>9.3421052631578946E-2</v>
      </c>
      <c r="E179" s="12">
        <f>'Data Used - 1'!K70/'Data Used - 1'!J70</f>
        <v>5.9800931128592069E-3</v>
      </c>
      <c r="F179" s="10">
        <f>D179+E179</f>
        <v>9.9401145744438146E-2</v>
      </c>
    </row>
    <row r="180" spans="1:6" x14ac:dyDescent="0.3">
      <c r="A180" s="16" t="s">
        <v>305</v>
      </c>
      <c r="B180" s="3" t="s">
        <v>14</v>
      </c>
      <c r="C180" s="3" t="s">
        <v>21</v>
      </c>
      <c r="D180" s="12">
        <f>('Data Used - 1'!F140+'Data Used - 1'!G140+'Data Used - 1'!H140)/'Data Used - 1'!I140</f>
        <v>9.422796795338674E-2</v>
      </c>
      <c r="E180" s="12">
        <f>'Data Used - 1'!K140/'Data Used - 1'!J140</f>
        <v>4.5727439574454846E-3</v>
      </c>
      <c r="F180" s="10">
        <f>D180+E180</f>
        <v>9.8800711910832228E-2</v>
      </c>
    </row>
    <row r="181" spans="1:6" x14ac:dyDescent="0.3">
      <c r="A181" s="16" t="s">
        <v>166</v>
      </c>
      <c r="B181" s="3" t="s">
        <v>31</v>
      </c>
      <c r="C181" s="3" t="s">
        <v>21</v>
      </c>
      <c r="D181" s="12">
        <f>('Data Used - 1'!F60+'Data Used - 1'!G60+'Data Used - 1'!H60)/'Data Used - 1'!I60</f>
        <v>9.2726081258191345E-2</v>
      </c>
      <c r="E181" s="12">
        <f>'Data Used - 1'!K60/'Data Used - 1'!J60</f>
        <v>5.7886157224125885E-3</v>
      </c>
      <c r="F181" s="10">
        <f>D181+E181</f>
        <v>9.851469698060393E-2</v>
      </c>
    </row>
    <row r="182" spans="1:6" x14ac:dyDescent="0.3">
      <c r="A182" s="16" t="s">
        <v>447</v>
      </c>
      <c r="B182" s="3" t="s">
        <v>31</v>
      </c>
      <c r="C182" s="3" t="s">
        <v>21</v>
      </c>
      <c r="D182" s="12">
        <f>('Data Used - 1'!F232+'Data Used - 1'!G232+'Data Used - 1'!H232)/'Data Used - 1'!I232</f>
        <v>8.5734265734265735E-2</v>
      </c>
      <c r="E182" s="12">
        <f>'Data Used - 1'!K232/'Data Used - 1'!J232</f>
        <v>1.2238529426105612E-2</v>
      </c>
      <c r="F182" s="10">
        <f>D182+E182</f>
        <v>9.7972795160371343E-2</v>
      </c>
    </row>
    <row r="183" spans="1:6" x14ac:dyDescent="0.3">
      <c r="A183" s="16" t="s">
        <v>463</v>
      </c>
      <c r="B183" s="3" t="s">
        <v>14</v>
      </c>
      <c r="C183" s="3" t="s">
        <v>49</v>
      </c>
      <c r="D183" s="12">
        <f>('Data Used - 1'!F244+'Data Used - 1'!G244+'Data Used - 1'!H244)/'Data Used - 1'!I244</f>
        <v>9.7001272669424113E-2</v>
      </c>
      <c r="E183" s="12">
        <f>'Data Used - 1'!K244/'Data Used - 1'!J244</f>
        <v>6.4659527177207514E-4</v>
      </c>
      <c r="F183" s="10">
        <f>D183+E183</f>
        <v>9.764786794119619E-2</v>
      </c>
    </row>
    <row r="184" spans="1:6" x14ac:dyDescent="0.3">
      <c r="A184" s="16" t="s">
        <v>75</v>
      </c>
      <c r="B184" s="3" t="s">
        <v>31</v>
      </c>
      <c r="C184" s="3" t="s">
        <v>21</v>
      </c>
      <c r="D184" s="12">
        <f>('Data Used - 1'!F18+'Data Used - 1'!G18+'Data Used - 1'!H18)/'Data Used - 1'!I18</f>
        <v>9.4235532537716729E-2</v>
      </c>
      <c r="E184" s="12">
        <f>'Data Used - 1'!K18/'Data Used - 1'!J18</f>
        <v>2.9953656606759352E-3</v>
      </c>
      <c r="F184" s="10">
        <f>D184+E184</f>
        <v>9.723089819839266E-2</v>
      </c>
    </row>
    <row r="185" spans="1:6" x14ac:dyDescent="0.3">
      <c r="A185" s="16" t="s">
        <v>379</v>
      </c>
      <c r="B185" s="3" t="s">
        <v>14</v>
      </c>
      <c r="C185" s="3" t="s">
        <v>42</v>
      </c>
      <c r="D185" s="12">
        <f>('Data Used - 1'!F186+'Data Used - 1'!G186+'Data Used - 1'!H186)/'Data Used - 1'!I186</f>
        <v>9.5290736237010829E-2</v>
      </c>
      <c r="E185" s="12">
        <f>'Data Used - 1'!K186/'Data Used - 1'!J186</f>
        <v>1.4393156155608263E-3</v>
      </c>
      <c r="F185" s="10">
        <f>D185+E185</f>
        <v>9.673005185257165E-2</v>
      </c>
    </row>
    <row r="186" spans="1:6" x14ac:dyDescent="0.3">
      <c r="A186" s="16" t="s">
        <v>459</v>
      </c>
      <c r="B186" s="3" t="s">
        <v>40</v>
      </c>
      <c r="C186" s="3" t="s">
        <v>42</v>
      </c>
      <c r="D186" s="12">
        <f>('Data Used - 1'!F241+'Data Used - 1'!G241+'Data Used - 1'!H241)/'Data Used - 1'!I241</f>
        <v>8.6293505561535699E-2</v>
      </c>
      <c r="E186" s="12">
        <f>'Data Used - 1'!K241/'Data Used - 1'!J241</f>
        <v>9.0647661915478871E-3</v>
      </c>
      <c r="F186" s="10">
        <f>D186+E186</f>
        <v>9.535827175308359E-2</v>
      </c>
    </row>
    <row r="187" spans="1:6" x14ac:dyDescent="0.3">
      <c r="A187" s="16" t="s">
        <v>202</v>
      </c>
      <c r="B187" s="3" t="s">
        <v>14</v>
      </c>
      <c r="C187" s="3" t="s">
        <v>42</v>
      </c>
      <c r="D187" s="12">
        <f>('Data Used - 1'!F80+'Data Used - 1'!G80+'Data Used - 1'!H80)/'Data Used - 1'!I80</f>
        <v>8.860696018453515E-2</v>
      </c>
      <c r="E187" s="12">
        <f>'Data Used - 1'!K80/'Data Used - 1'!J80</f>
        <v>6.7505836970865899E-3</v>
      </c>
      <c r="F187" s="10">
        <f>D187+E187</f>
        <v>9.5357543881621737E-2</v>
      </c>
    </row>
    <row r="188" spans="1:6" x14ac:dyDescent="0.3">
      <c r="A188" s="16" t="s">
        <v>96</v>
      </c>
      <c r="B188" s="3" t="s">
        <v>40</v>
      </c>
      <c r="C188" s="3" t="s">
        <v>16</v>
      </c>
      <c r="D188" s="12">
        <f>('Data Used - 1'!F27+'Data Used - 1'!G27+'Data Used - 1'!H27)/'Data Used - 1'!I27</f>
        <v>8.9730807577268201E-2</v>
      </c>
      <c r="E188" s="12">
        <f>'Data Used - 1'!K27/'Data Used - 1'!J27</f>
        <v>5.1078457478999735E-3</v>
      </c>
      <c r="F188" s="10">
        <f>D188+E188</f>
        <v>9.4838653325168179E-2</v>
      </c>
    </row>
    <row r="189" spans="1:6" x14ac:dyDescent="0.3">
      <c r="A189" s="16" t="s">
        <v>382</v>
      </c>
      <c r="B189" s="3" t="s">
        <v>25</v>
      </c>
      <c r="C189" s="3" t="s">
        <v>16</v>
      </c>
      <c r="D189" s="12">
        <f>('Data Used - 1'!F188+'Data Used - 1'!G188+'Data Used - 1'!H188)/'Data Used - 1'!I188</f>
        <v>8.3726921425504502E-2</v>
      </c>
      <c r="E189" s="12">
        <f>'Data Used - 1'!K188/'Data Used - 1'!J188</f>
        <v>1.103590347263096E-2</v>
      </c>
      <c r="F189" s="10">
        <f>D189+E189</f>
        <v>9.4762824898135464E-2</v>
      </c>
    </row>
    <row r="190" spans="1:6" x14ac:dyDescent="0.3">
      <c r="A190" s="16" t="s">
        <v>241</v>
      </c>
      <c r="B190" s="3" t="s">
        <v>14</v>
      </c>
      <c r="C190" s="3" t="s">
        <v>71</v>
      </c>
      <c r="D190" s="12">
        <f>('Data Used - 1'!F101+'Data Used - 1'!G101+'Data Used - 1'!H101)/'Data Used - 1'!I101</f>
        <v>9.2298980747451867E-2</v>
      </c>
      <c r="E190" s="12">
        <f>'Data Used - 1'!K101/'Data Used - 1'!J101</f>
        <v>2.1370155755558295E-3</v>
      </c>
      <c r="F190" s="10">
        <f>D190+E190</f>
        <v>9.4435996323007698E-2</v>
      </c>
    </row>
    <row r="191" spans="1:6" x14ac:dyDescent="0.3">
      <c r="A191" s="16" t="s">
        <v>213</v>
      </c>
      <c r="B191" s="3" t="s">
        <v>14</v>
      </c>
      <c r="C191" s="3" t="s">
        <v>49</v>
      </c>
      <c r="D191" s="12">
        <f>('Data Used - 1'!F85+'Data Used - 1'!G85+'Data Used - 1'!H85)/'Data Used - 1'!I85</f>
        <v>8.6737756939878216E-2</v>
      </c>
      <c r="E191" s="12">
        <f>'Data Used - 1'!K85/'Data Used - 1'!J85</f>
        <v>7.466182584763132E-3</v>
      </c>
      <c r="F191" s="10">
        <f>D191+E191</f>
        <v>9.4203939524641345E-2</v>
      </c>
    </row>
    <row r="192" spans="1:6" x14ac:dyDescent="0.3">
      <c r="A192" s="16" t="s">
        <v>404</v>
      </c>
      <c r="B192" s="3" t="s">
        <v>31</v>
      </c>
      <c r="C192" s="3" t="s">
        <v>16</v>
      </c>
      <c r="D192" s="12">
        <f>('Data Used - 1'!F202+'Data Used - 1'!G202+'Data Used - 1'!H202)/'Data Used - 1'!I202</f>
        <v>9.0606816292601824E-2</v>
      </c>
      <c r="E192" s="12">
        <f>'Data Used - 1'!K202/'Data Used - 1'!J202</f>
        <v>3.4313725490196078E-3</v>
      </c>
      <c r="F192" s="10">
        <f>D192+E192</f>
        <v>9.4038188841621434E-2</v>
      </c>
    </row>
    <row r="193" spans="1:6" x14ac:dyDescent="0.3">
      <c r="A193" s="16" t="s">
        <v>401</v>
      </c>
      <c r="B193" s="3" t="s">
        <v>14</v>
      </c>
      <c r="C193" s="3" t="s">
        <v>42</v>
      </c>
      <c r="D193" s="12">
        <f>('Data Used - 1'!F200+'Data Used - 1'!G200+'Data Used - 1'!H200)/'Data Used - 1'!I200</f>
        <v>8.5520696919660646E-2</v>
      </c>
      <c r="E193" s="12">
        <f>'Data Used - 1'!K200/'Data Used - 1'!J200</f>
        <v>7.9861611647686313E-3</v>
      </c>
      <c r="F193" s="10">
        <f>D193+E193</f>
        <v>9.3506858084429281E-2</v>
      </c>
    </row>
    <row r="194" spans="1:6" x14ac:dyDescent="0.3">
      <c r="A194" s="16" t="s">
        <v>367</v>
      </c>
      <c r="B194" s="3" t="s">
        <v>25</v>
      </c>
      <c r="C194" s="3" t="s">
        <v>42</v>
      </c>
      <c r="D194" s="12">
        <f>('Data Used - 1'!F178+'Data Used - 1'!G178+'Data Used - 1'!H178)/'Data Used - 1'!I178</f>
        <v>9.1365878393951966E-2</v>
      </c>
      <c r="E194" s="12">
        <f>'Data Used - 1'!K178/'Data Used - 1'!J178</f>
        <v>1.2115281563803266E-3</v>
      </c>
      <c r="F194" s="10">
        <f>D194+E194</f>
        <v>9.2577406550332295E-2</v>
      </c>
    </row>
    <row r="195" spans="1:6" x14ac:dyDescent="0.3">
      <c r="A195" s="16" t="s">
        <v>338</v>
      </c>
      <c r="B195" s="3" t="s">
        <v>31</v>
      </c>
      <c r="C195" s="3" t="s">
        <v>71</v>
      </c>
      <c r="D195" s="12">
        <f>('Data Used - 1'!F161+'Data Used - 1'!G161+'Data Used - 1'!H161)/'Data Used - 1'!I161</f>
        <v>9.1137810638734856E-2</v>
      </c>
      <c r="E195" s="12">
        <f>'Data Used - 1'!K161/'Data Used - 1'!J161</f>
        <v>1.0721561059290233E-3</v>
      </c>
      <c r="F195" s="10">
        <f>D195+E195</f>
        <v>9.2209966744663877E-2</v>
      </c>
    </row>
    <row r="196" spans="1:6" x14ac:dyDescent="0.3">
      <c r="A196" s="16" t="s">
        <v>406</v>
      </c>
      <c r="B196" s="3" t="s">
        <v>31</v>
      </c>
      <c r="C196" s="3" t="s">
        <v>49</v>
      </c>
      <c r="D196" s="12">
        <f>('Data Used - 1'!F203+'Data Used - 1'!G203+'Data Used - 1'!H203)/'Data Used - 1'!I203</f>
        <v>8.2108498129342594E-2</v>
      </c>
      <c r="E196" s="12">
        <f>'Data Used - 1'!K203/'Data Used - 1'!J203</f>
        <v>9.7376251014335957E-3</v>
      </c>
      <c r="F196" s="10">
        <f>D196+E196</f>
        <v>9.1846123230776192E-2</v>
      </c>
    </row>
    <row r="197" spans="1:6" x14ac:dyDescent="0.3">
      <c r="A197" s="16" t="s">
        <v>13</v>
      </c>
      <c r="B197" s="3" t="s">
        <v>31</v>
      </c>
      <c r="C197" s="3" t="s">
        <v>16</v>
      </c>
      <c r="D197" s="12">
        <f>('Data Used - 1'!F2+'Data Used - 1'!G2+'Data Used - 1'!H2)/'Data Used - 1'!I2</f>
        <v>9.0759753593429152E-2</v>
      </c>
      <c r="E197" s="12">
        <f>'Data Used - 1'!K2/'Data Used - 1'!J2</f>
        <v>6.9204152249134946E-4</v>
      </c>
      <c r="F197" s="10">
        <f>D197+E197</f>
        <v>9.1451795115920498E-2</v>
      </c>
    </row>
    <row r="198" spans="1:6" x14ac:dyDescent="0.3">
      <c r="A198" s="16" t="s">
        <v>479</v>
      </c>
      <c r="B198" s="3" t="s">
        <v>25</v>
      </c>
      <c r="C198" s="3" t="s">
        <v>16</v>
      </c>
      <c r="D198" s="12">
        <f>('Data Used - 1'!F254+'Data Used - 1'!G254+'Data Used - 1'!H254)/'Data Used - 1'!I254</f>
        <v>8.6897539284772202E-2</v>
      </c>
      <c r="E198" s="12">
        <f>'Data Used - 1'!K254/'Data Used - 1'!J254</f>
        <v>3.8963754205234447E-3</v>
      </c>
      <c r="F198" s="10">
        <f>D198+E198</f>
        <v>9.0793914705295645E-2</v>
      </c>
    </row>
    <row r="199" spans="1:6" x14ac:dyDescent="0.3">
      <c r="A199" s="16" t="s">
        <v>371</v>
      </c>
      <c r="B199" s="3" t="s">
        <v>25</v>
      </c>
      <c r="C199" s="3" t="s">
        <v>21</v>
      </c>
      <c r="D199" s="12">
        <f>('Data Used - 1'!F181+'Data Used - 1'!G181+'Data Used - 1'!H181)/'Data Used - 1'!I181</f>
        <v>9.023070704558174E-2</v>
      </c>
      <c r="E199" s="12">
        <f>'Data Used - 1'!K181/'Data Used - 1'!J181</f>
        <v>2.3119443451943085E-4</v>
      </c>
      <c r="F199" s="10">
        <f>D199+E199</f>
        <v>9.0461901480101164E-2</v>
      </c>
    </row>
    <row r="200" spans="1:6" x14ac:dyDescent="0.3">
      <c r="A200" s="16" t="s">
        <v>51</v>
      </c>
      <c r="B200" s="3" t="s">
        <v>25</v>
      </c>
      <c r="C200" s="3" t="s">
        <v>21</v>
      </c>
      <c r="D200" s="12">
        <f>('Data Used - 1'!F10+'Data Used - 1'!G10+'Data Used - 1'!H10)/'Data Used - 1'!I10</f>
        <v>8.8019732205778717E-2</v>
      </c>
      <c r="E200" s="12">
        <f>'Data Used - 1'!K10/'Data Used - 1'!J10</f>
        <v>2.3250448147950943E-3</v>
      </c>
      <c r="F200" s="10">
        <f>D200+E200</f>
        <v>9.0344777020573808E-2</v>
      </c>
    </row>
    <row r="201" spans="1:6" x14ac:dyDescent="0.3">
      <c r="A201" s="16" t="s">
        <v>291</v>
      </c>
      <c r="B201" s="3" t="s">
        <v>25</v>
      </c>
      <c r="C201" s="3" t="s">
        <v>16</v>
      </c>
      <c r="D201" s="12">
        <f>('Data Used - 1'!F131+'Data Used - 1'!G131+'Data Used - 1'!H131)/'Data Used - 1'!I131</f>
        <v>8.9577656675749323E-2</v>
      </c>
      <c r="E201" s="12">
        <f>'Data Used - 1'!K131/'Data Used - 1'!J131</f>
        <v>5.8555801016741641E-4</v>
      </c>
      <c r="F201" s="10">
        <f>D201+E201</f>
        <v>9.0163214685916745E-2</v>
      </c>
    </row>
    <row r="202" spans="1:6" x14ac:dyDescent="0.3">
      <c r="A202" s="16" t="s">
        <v>252</v>
      </c>
      <c r="B202" s="3" t="s">
        <v>31</v>
      </c>
      <c r="C202" s="3" t="s">
        <v>49</v>
      </c>
      <c r="D202" s="12">
        <f>('Data Used - 1'!F107+'Data Used - 1'!G107+'Data Used - 1'!H107)/'Data Used - 1'!I107</f>
        <v>8.5718409468138843E-2</v>
      </c>
      <c r="E202" s="12">
        <f>'Data Used - 1'!K107/'Data Used - 1'!J107</f>
        <v>4.3100331207243173E-3</v>
      </c>
      <c r="F202" s="10">
        <f>D202+E202</f>
        <v>9.0028442588863167E-2</v>
      </c>
    </row>
    <row r="203" spans="1:6" x14ac:dyDescent="0.3">
      <c r="A203" s="16" t="s">
        <v>381</v>
      </c>
      <c r="B203" s="3" t="s">
        <v>25</v>
      </c>
      <c r="C203" s="3" t="s">
        <v>42</v>
      </c>
      <c r="D203" s="12">
        <f>('Data Used - 1'!F187+'Data Used - 1'!G187+'Data Used - 1'!H187)/'Data Used - 1'!I187</f>
        <v>8.4862714173059003E-2</v>
      </c>
      <c r="E203" s="12">
        <f>'Data Used - 1'!K187/'Data Used - 1'!J187</f>
        <v>4.815233648269069E-3</v>
      </c>
      <c r="F203" s="10">
        <f>D203+E203</f>
        <v>8.9677947821328069E-2</v>
      </c>
    </row>
    <row r="204" spans="1:6" x14ac:dyDescent="0.3">
      <c r="A204" s="16" t="s">
        <v>415</v>
      </c>
      <c r="B204" s="3" t="s">
        <v>31</v>
      </c>
      <c r="C204" s="3" t="s">
        <v>71</v>
      </c>
      <c r="D204" s="12">
        <f>('Data Used - 1'!F209+'Data Used - 1'!G209+'Data Used - 1'!H209)/'Data Used - 1'!I209</f>
        <v>8.6537809426924378E-2</v>
      </c>
      <c r="E204" s="12">
        <f>'Data Used - 1'!K209/'Data Used - 1'!J209</f>
        <v>3.0888914311863629E-3</v>
      </c>
      <c r="F204" s="10">
        <f>D204+E204</f>
        <v>8.9626700858110739E-2</v>
      </c>
    </row>
    <row r="205" spans="1:6" x14ac:dyDescent="0.3">
      <c r="A205" s="16" t="s">
        <v>535</v>
      </c>
      <c r="B205" s="3" t="s">
        <v>25</v>
      </c>
      <c r="C205" s="3" t="s">
        <v>42</v>
      </c>
      <c r="D205" s="12">
        <f>('Data Used - 1'!F291+'Data Used - 1'!G291+'Data Used - 1'!H291)/'Data Used - 1'!I291</f>
        <v>8.3921940869371006E-2</v>
      </c>
      <c r="E205" s="12">
        <f>'Data Used - 1'!K291/'Data Used - 1'!J291</f>
        <v>5.4046406338426715E-3</v>
      </c>
      <c r="F205" s="10">
        <f>D205+E205</f>
        <v>8.9326581503213681E-2</v>
      </c>
    </row>
    <row r="206" spans="1:6" x14ac:dyDescent="0.3">
      <c r="A206" s="16" t="s">
        <v>342</v>
      </c>
      <c r="B206" s="3" t="s">
        <v>40</v>
      </c>
      <c r="C206" s="3" t="s">
        <v>33</v>
      </c>
      <c r="D206" s="12">
        <f>('Data Used - 1'!F163+'Data Used - 1'!G163+'Data Used - 1'!H163)/'Data Used - 1'!I163</f>
        <v>8.6630570595585168E-2</v>
      </c>
      <c r="E206" s="12">
        <f>'Data Used - 1'!K163/'Data Used - 1'!J163</f>
        <v>2.5367297325864075E-3</v>
      </c>
      <c r="F206" s="10">
        <f>D206+E206</f>
        <v>8.9167300328171578E-2</v>
      </c>
    </row>
    <row r="207" spans="1:6" x14ac:dyDescent="0.3">
      <c r="A207" s="16" t="s">
        <v>502</v>
      </c>
      <c r="B207" s="3" t="s">
        <v>25</v>
      </c>
      <c r="C207" s="3" t="s">
        <v>16</v>
      </c>
      <c r="D207" s="12">
        <f>('Data Used - 1'!F269+'Data Used - 1'!G269+'Data Used - 1'!H269)/'Data Used - 1'!I269</f>
        <v>8.4062694239588759E-2</v>
      </c>
      <c r="E207" s="12">
        <f>'Data Used - 1'!K269/'Data Used - 1'!J269</f>
        <v>4.5286195286195286E-3</v>
      </c>
      <c r="F207" s="10">
        <f>D207+E207</f>
        <v>8.8591313768208294E-2</v>
      </c>
    </row>
    <row r="208" spans="1:6" x14ac:dyDescent="0.3">
      <c r="A208" s="16" t="s">
        <v>384</v>
      </c>
      <c r="B208" s="3" t="s">
        <v>25</v>
      </c>
      <c r="C208" s="3" t="s">
        <v>16</v>
      </c>
      <c r="D208" s="12">
        <f>('Data Used - 1'!F189+'Data Used - 1'!G189+'Data Used - 1'!H189)/'Data Used - 1'!I189</f>
        <v>8.4946236559139784E-2</v>
      </c>
      <c r="E208" s="12">
        <f>'Data Used - 1'!K189/'Data Used - 1'!J189</f>
        <v>3.3565268522148177E-3</v>
      </c>
      <c r="F208" s="10">
        <f>D208+E208</f>
        <v>8.8302763411354596E-2</v>
      </c>
    </row>
    <row r="209" spans="1:6" x14ac:dyDescent="0.3">
      <c r="A209" s="16" t="s">
        <v>236</v>
      </c>
      <c r="B209" s="3" t="s">
        <v>14</v>
      </c>
      <c r="C209" s="3" t="s">
        <v>49</v>
      </c>
      <c r="D209" s="12">
        <f>('Data Used - 1'!F98+'Data Used - 1'!G98+'Data Used - 1'!H98)/'Data Used - 1'!I98</f>
        <v>8.7668609086629767E-2</v>
      </c>
      <c r="E209" s="12">
        <f>'Data Used - 1'!K98/'Data Used - 1'!J98</f>
        <v>5.8695971173756381E-4</v>
      </c>
      <c r="F209" s="10">
        <f>D209+E209</f>
        <v>8.8255568798367337E-2</v>
      </c>
    </row>
    <row r="210" spans="1:6" x14ac:dyDescent="0.3">
      <c r="A210" s="16" t="s">
        <v>489</v>
      </c>
      <c r="B210" s="3" t="s">
        <v>40</v>
      </c>
      <c r="C210" s="3" t="s">
        <v>33</v>
      </c>
      <c r="D210" s="12">
        <f>('Data Used - 1'!F261+'Data Used - 1'!G261+'Data Used - 1'!H261)/'Data Used - 1'!I261</f>
        <v>8.7752275425405618E-2</v>
      </c>
      <c r="E210" s="12">
        <f>'Data Used - 1'!K261/'Data Used - 1'!J261</f>
        <v>1.6557113763928673E-4</v>
      </c>
      <c r="F210" s="10">
        <f>D210+E210</f>
        <v>8.791784656304491E-2</v>
      </c>
    </row>
    <row r="211" spans="1:6" x14ac:dyDescent="0.3">
      <c r="A211" s="16" t="s">
        <v>198</v>
      </c>
      <c r="B211" s="3" t="s">
        <v>25</v>
      </c>
      <c r="C211" s="3" t="s">
        <v>33</v>
      </c>
      <c r="D211" s="12">
        <f>('Data Used - 1'!F77+'Data Used - 1'!G77+'Data Used - 1'!H77)/'Data Used - 1'!I77</f>
        <v>8.1177520071364848E-2</v>
      </c>
      <c r="E211" s="12">
        <f>'Data Used - 1'!K77/'Data Used - 1'!J77</f>
        <v>6.6189743932606807E-3</v>
      </c>
      <c r="F211" s="10">
        <f>D211+E211</f>
        <v>8.7796494464625535E-2</v>
      </c>
    </row>
    <row r="212" spans="1:6" x14ac:dyDescent="0.3">
      <c r="A212" s="16" t="s">
        <v>422</v>
      </c>
      <c r="B212" s="3" t="s">
        <v>14</v>
      </c>
      <c r="C212" s="3" t="s">
        <v>42</v>
      </c>
      <c r="D212" s="12">
        <f>('Data Used - 1'!F214+'Data Used - 1'!G214+'Data Used - 1'!H214)/'Data Used - 1'!I214</f>
        <v>8.21914819340199E-2</v>
      </c>
      <c r="E212" s="12">
        <f>'Data Used - 1'!K214/'Data Used - 1'!J214</f>
        <v>5.434782608695652E-3</v>
      </c>
      <c r="F212" s="10">
        <f>D212+E212</f>
        <v>8.7626264542715548E-2</v>
      </c>
    </row>
    <row r="213" spans="1:6" x14ac:dyDescent="0.3">
      <c r="A213" s="16" t="s">
        <v>393</v>
      </c>
      <c r="B213" s="3" t="s">
        <v>31</v>
      </c>
      <c r="C213" s="3" t="s">
        <v>33</v>
      </c>
      <c r="D213" s="12">
        <f>('Data Used - 1'!F195+'Data Used - 1'!G195+'Data Used - 1'!H195)/'Data Used - 1'!I195</f>
        <v>8.4203612479474554E-2</v>
      </c>
      <c r="E213" s="12">
        <f>'Data Used - 1'!K195/'Data Used - 1'!J195</f>
        <v>3.2182466332189067E-3</v>
      </c>
      <c r="F213" s="10">
        <f>D213+E213</f>
        <v>8.7421859112693456E-2</v>
      </c>
    </row>
    <row r="214" spans="1:6" x14ac:dyDescent="0.3">
      <c r="A214" s="16" t="s">
        <v>551</v>
      </c>
      <c r="B214" s="3" t="s">
        <v>14</v>
      </c>
      <c r="C214" s="3" t="s">
        <v>42</v>
      </c>
      <c r="D214" s="12">
        <f>('Data Used - 1'!F301+'Data Used - 1'!G301+'Data Used - 1'!H301)/'Data Used - 1'!I301</f>
        <v>8.3539958039290485E-2</v>
      </c>
      <c r="E214" s="12">
        <f>'Data Used - 1'!K301/'Data Used - 1'!J301</f>
        <v>3.0468351199591627E-3</v>
      </c>
      <c r="F214" s="10">
        <f>D214+E214</f>
        <v>8.658679315924965E-2</v>
      </c>
    </row>
    <row r="215" spans="1:6" x14ac:dyDescent="0.3">
      <c r="A215" s="16" t="s">
        <v>88</v>
      </c>
      <c r="B215" s="3" t="s">
        <v>31</v>
      </c>
      <c r="C215" s="3" t="s">
        <v>21</v>
      </c>
      <c r="D215" s="12">
        <f>('Data Used - 1'!F23+'Data Used - 1'!G23+'Data Used - 1'!H23)/'Data Used - 1'!I23</f>
        <v>8.0294585987261149E-2</v>
      </c>
      <c r="E215" s="12">
        <f>'Data Used - 1'!K23/'Data Used - 1'!J23</f>
        <v>5.4036484784463499E-3</v>
      </c>
      <c r="F215" s="10">
        <f>D215+E215</f>
        <v>8.5698234465707498E-2</v>
      </c>
    </row>
    <row r="216" spans="1:6" x14ac:dyDescent="0.3">
      <c r="A216" s="16" t="s">
        <v>281</v>
      </c>
      <c r="B216" s="3" t="s">
        <v>40</v>
      </c>
      <c r="C216" s="3" t="s">
        <v>21</v>
      </c>
      <c r="D216" s="12">
        <f>('Data Used - 1'!F123+'Data Used - 1'!G123+'Data Used - 1'!H123)/'Data Used - 1'!I123</f>
        <v>8.0565268065268064E-2</v>
      </c>
      <c r="E216" s="12">
        <f>'Data Used - 1'!K123/'Data Used - 1'!J123</f>
        <v>4.8965056754952151E-3</v>
      </c>
      <c r="F216" s="10">
        <f>D216+E216</f>
        <v>8.5461773740763275E-2</v>
      </c>
    </row>
    <row r="217" spans="1:6" x14ac:dyDescent="0.3">
      <c r="A217" s="16" t="s">
        <v>226</v>
      </c>
      <c r="B217" s="3" t="s">
        <v>25</v>
      </c>
      <c r="C217" s="3" t="s">
        <v>49</v>
      </c>
      <c r="D217" s="12">
        <f>('Data Used - 1'!F92+'Data Used - 1'!G92+'Data Used - 1'!H92)/'Data Used - 1'!I92</f>
        <v>7.984956452889945E-2</v>
      </c>
      <c r="E217" s="12">
        <f>'Data Used - 1'!K92/'Data Used - 1'!J92</f>
        <v>5.5657119642494417E-3</v>
      </c>
      <c r="F217" s="10">
        <f>D217+E217</f>
        <v>8.5415276493148895E-2</v>
      </c>
    </row>
    <row r="218" spans="1:6" x14ac:dyDescent="0.3">
      <c r="A218" s="16" t="s">
        <v>491</v>
      </c>
      <c r="B218" s="3" t="s">
        <v>14</v>
      </c>
      <c r="C218" s="3" t="s">
        <v>49</v>
      </c>
      <c r="D218" s="12">
        <f>('Data Used - 1'!F262+'Data Used - 1'!G262+'Data Used - 1'!H262)/'Data Used - 1'!I262</f>
        <v>8.2835359571399134E-2</v>
      </c>
      <c r="E218" s="12">
        <f>'Data Used - 1'!K262/'Data Used - 1'!J262</f>
        <v>2.3533646192394481E-3</v>
      </c>
      <c r="F218" s="10">
        <f>D218+E218</f>
        <v>8.5188724190638582E-2</v>
      </c>
    </row>
    <row r="219" spans="1:6" x14ac:dyDescent="0.3">
      <c r="A219" s="16" t="s">
        <v>520</v>
      </c>
      <c r="B219" s="3" t="s">
        <v>40</v>
      </c>
      <c r="C219" s="3" t="s">
        <v>71</v>
      </c>
      <c r="D219" s="12">
        <f>('Data Used - 1'!F281+'Data Used - 1'!G281+'Data Used - 1'!H281)/'Data Used - 1'!I281</f>
        <v>8.3274853801169585E-2</v>
      </c>
      <c r="E219" s="12">
        <f>'Data Used - 1'!K281/'Data Used - 1'!J281</f>
        <v>1.6339355852317361E-3</v>
      </c>
      <c r="F219" s="10">
        <f>D219+E219</f>
        <v>8.4908789386401326E-2</v>
      </c>
    </row>
    <row r="220" spans="1:6" x14ac:dyDescent="0.3">
      <c r="A220" s="16" t="s">
        <v>151</v>
      </c>
      <c r="B220" s="3" t="s">
        <v>31</v>
      </c>
      <c r="C220" s="3" t="s">
        <v>42</v>
      </c>
      <c r="D220" s="12">
        <f>('Data Used - 1'!F52+'Data Used - 1'!G52+'Data Used - 1'!H52)/'Data Used - 1'!I52</f>
        <v>7.8689839572192513E-2</v>
      </c>
      <c r="E220" s="12">
        <f>'Data Used - 1'!K52/'Data Used - 1'!J52</f>
        <v>6.0912881043911418E-3</v>
      </c>
      <c r="F220" s="10">
        <f>D220+E220</f>
        <v>8.4781127676583662E-2</v>
      </c>
    </row>
    <row r="221" spans="1:6" x14ac:dyDescent="0.3">
      <c r="A221" s="16" t="s">
        <v>162</v>
      </c>
      <c r="B221" s="3" t="s">
        <v>25</v>
      </c>
      <c r="C221" s="3" t="s">
        <v>71</v>
      </c>
      <c r="D221" s="12">
        <f>('Data Used - 1'!F58+'Data Used - 1'!G58+'Data Used - 1'!H58)/'Data Used - 1'!I58</f>
        <v>8.0862831858407078E-2</v>
      </c>
      <c r="E221" s="12">
        <f>'Data Used - 1'!K58/'Data Used - 1'!J58</f>
        <v>3.7774648516953886E-3</v>
      </c>
      <c r="F221" s="10">
        <f>D221+E221</f>
        <v>8.4640296710102467E-2</v>
      </c>
    </row>
    <row r="222" spans="1:6" x14ac:dyDescent="0.3">
      <c r="A222" s="16" t="s">
        <v>443</v>
      </c>
      <c r="B222" s="3" t="s">
        <v>31</v>
      </c>
      <c r="C222" s="3" t="s">
        <v>33</v>
      </c>
      <c r="D222" s="12">
        <f>('Data Used - 1'!F229+'Data Used - 1'!G229+'Data Used - 1'!H229)/'Data Used - 1'!I229</f>
        <v>8.1808097615085965E-2</v>
      </c>
      <c r="E222" s="12">
        <f>'Data Used - 1'!K229/'Data Used - 1'!J229</f>
        <v>2.7198170051327829E-3</v>
      </c>
      <c r="F222" s="10">
        <f>D222+E222</f>
        <v>8.4527914620218747E-2</v>
      </c>
    </row>
    <row r="223" spans="1:6" x14ac:dyDescent="0.3">
      <c r="A223" s="16" t="s">
        <v>90</v>
      </c>
      <c r="B223" s="3" t="s">
        <v>31</v>
      </c>
      <c r="C223" s="3" t="s">
        <v>71</v>
      </c>
      <c r="D223" s="12">
        <f>('Data Used - 1'!F24+'Data Used - 1'!G24+'Data Used - 1'!H24)/'Data Used - 1'!I24</f>
        <v>7.6867995018679955E-2</v>
      </c>
      <c r="E223" s="12">
        <f>'Data Used - 1'!K24/'Data Used - 1'!J24</f>
        <v>7.0897403579531131E-3</v>
      </c>
      <c r="F223" s="10">
        <f>D223+E223</f>
        <v>8.3957735376633064E-2</v>
      </c>
    </row>
    <row r="224" spans="1:6" x14ac:dyDescent="0.3">
      <c r="A224" s="16" t="s">
        <v>416</v>
      </c>
      <c r="B224" s="3" t="s">
        <v>14</v>
      </c>
      <c r="C224" s="3" t="s">
        <v>71</v>
      </c>
      <c r="D224" s="12">
        <f>('Data Used - 1'!F210+'Data Used - 1'!G210+'Data Used - 1'!H210)/'Data Used - 1'!I210</f>
        <v>8.2753164556962022E-2</v>
      </c>
      <c r="E224" s="12">
        <f>'Data Used - 1'!K210/'Data Used - 1'!J210</f>
        <v>1.1221545367104842E-3</v>
      </c>
      <c r="F224" s="10">
        <f>D224+E224</f>
        <v>8.3875319093672504E-2</v>
      </c>
    </row>
    <row r="225" spans="1:6" x14ac:dyDescent="0.3">
      <c r="A225" s="16" t="s">
        <v>175</v>
      </c>
      <c r="B225" s="3" t="s">
        <v>31</v>
      </c>
      <c r="C225" s="3" t="s">
        <v>49</v>
      </c>
      <c r="D225" s="12">
        <f>('Data Used - 1'!F65+'Data Used - 1'!G65+'Data Used - 1'!H65)/'Data Used - 1'!I65</f>
        <v>8.2047718322909427E-2</v>
      </c>
      <c r="E225" s="12">
        <f>'Data Used - 1'!K65/'Data Used - 1'!J65</f>
        <v>1.7577987671971312E-3</v>
      </c>
      <c r="F225" s="10">
        <f>D225+E225</f>
        <v>8.3805517090106557E-2</v>
      </c>
    </row>
    <row r="226" spans="1:6" x14ac:dyDescent="0.3">
      <c r="A226" s="16" t="s">
        <v>201</v>
      </c>
      <c r="B226" s="3" t="s">
        <v>14</v>
      </c>
      <c r="C226" s="3" t="s">
        <v>49</v>
      </c>
      <c r="D226" s="12">
        <f>('Data Used - 1'!F79+'Data Used - 1'!G79+'Data Used - 1'!H79)/'Data Used - 1'!I79</f>
        <v>8.2075471698113203E-2</v>
      </c>
      <c r="E226" s="12">
        <f>'Data Used - 1'!K79/'Data Used - 1'!J79</f>
        <v>1.1135266981282146E-3</v>
      </c>
      <c r="F226" s="10">
        <f>D226+E226</f>
        <v>8.3188998396241415E-2</v>
      </c>
    </row>
    <row r="227" spans="1:6" x14ac:dyDescent="0.3">
      <c r="A227" s="16" t="s">
        <v>63</v>
      </c>
      <c r="B227" s="3" t="s">
        <v>14</v>
      </c>
      <c r="C227" s="3" t="s">
        <v>42</v>
      </c>
      <c r="D227" s="12">
        <f>('Data Used - 1'!F14+'Data Used - 1'!G14+'Data Used - 1'!H14)/'Data Used - 1'!I14</f>
        <v>7.5868578363072495E-2</v>
      </c>
      <c r="E227" s="12">
        <f>'Data Used - 1'!K14/'Data Used - 1'!J14</f>
        <v>5.3566394135889485E-3</v>
      </c>
      <c r="F227" s="10">
        <f>D227+E227</f>
        <v>8.1225217776661446E-2</v>
      </c>
    </row>
    <row r="228" spans="1:6" x14ac:dyDescent="0.3">
      <c r="A228" s="16" t="s">
        <v>276</v>
      </c>
      <c r="B228" s="3" t="s">
        <v>14</v>
      </c>
      <c r="C228" s="3" t="s">
        <v>49</v>
      </c>
      <c r="D228" s="12">
        <f>('Data Used - 1'!F119+'Data Used - 1'!G119+'Data Used - 1'!H119)/'Data Used - 1'!I119</f>
        <v>8.0158206987475278E-2</v>
      </c>
      <c r="E228" s="12">
        <f>'Data Used - 1'!K119/'Data Used - 1'!J119</f>
        <v>8.4127874369040938E-4</v>
      </c>
      <c r="F228" s="10">
        <f>D228+E228</f>
        <v>8.0999485731165694E-2</v>
      </c>
    </row>
    <row r="229" spans="1:6" x14ac:dyDescent="0.3">
      <c r="A229" s="16" t="s">
        <v>485</v>
      </c>
      <c r="B229" s="3" t="s">
        <v>25</v>
      </c>
      <c r="C229" s="3" t="s">
        <v>49</v>
      </c>
      <c r="D229" s="12">
        <f>('Data Used - 1'!F258+'Data Used - 1'!G258+'Data Used - 1'!H258)/'Data Used - 1'!I258</f>
        <v>7.9915048543689318E-2</v>
      </c>
      <c r="E229" s="12">
        <f>'Data Used - 1'!K258/'Data Used - 1'!J258</f>
        <v>5.1520896875772808E-4</v>
      </c>
      <c r="F229" s="10">
        <f>D229+E229</f>
        <v>8.0430257512447048E-2</v>
      </c>
    </row>
    <row r="230" spans="1:6" x14ac:dyDescent="0.3">
      <c r="A230" s="16" t="s">
        <v>370</v>
      </c>
      <c r="B230" s="3" t="s">
        <v>31</v>
      </c>
      <c r="C230" s="3" t="s">
        <v>42</v>
      </c>
      <c r="D230" s="12">
        <f>('Data Used - 1'!F180+'Data Used - 1'!G180+'Data Used - 1'!H180)/'Data Used - 1'!I180</f>
        <v>7.5280481001673588E-2</v>
      </c>
      <c r="E230" s="12">
        <f>'Data Used - 1'!K180/'Data Used - 1'!J180</f>
        <v>4.5948072383949646E-3</v>
      </c>
      <c r="F230" s="10">
        <f>D230+E230</f>
        <v>7.9875288240068551E-2</v>
      </c>
    </row>
    <row r="231" spans="1:6" x14ac:dyDescent="0.3">
      <c r="A231" s="16" t="s">
        <v>512</v>
      </c>
      <c r="B231" s="3" t="s">
        <v>40</v>
      </c>
      <c r="C231" s="3" t="s">
        <v>42</v>
      </c>
      <c r="D231" s="12">
        <f>('Data Used - 1'!F275+'Data Used - 1'!G275+'Data Used - 1'!H275)/'Data Used - 1'!I275</f>
        <v>7.8849599245638849E-2</v>
      </c>
      <c r="E231" s="12">
        <f>'Data Used - 1'!K275/'Data Used - 1'!J275</f>
        <v>8.3347540300429993E-4</v>
      </c>
      <c r="F231" s="10">
        <f>D231+E231</f>
        <v>7.9683074648643146E-2</v>
      </c>
    </row>
    <row r="232" spans="1:6" x14ac:dyDescent="0.3">
      <c r="A232" s="16" t="s">
        <v>450</v>
      </c>
      <c r="B232" s="3" t="s">
        <v>31</v>
      </c>
      <c r="C232" s="3" t="s">
        <v>49</v>
      </c>
      <c r="D232" s="12">
        <f>('Data Used - 1'!F234+'Data Used - 1'!G234+'Data Used - 1'!H234)/'Data Used - 1'!I234</f>
        <v>7.2969143576826198E-2</v>
      </c>
      <c r="E232" s="12">
        <f>'Data Used - 1'!K234/'Data Used - 1'!J234</f>
        <v>6.6511739722734196E-3</v>
      </c>
      <c r="F232" s="10">
        <f>D232+E232</f>
        <v>7.9620317549099623E-2</v>
      </c>
    </row>
    <row r="233" spans="1:6" x14ac:dyDescent="0.3">
      <c r="A233" s="16" t="s">
        <v>319</v>
      </c>
      <c r="B233" s="3" t="s">
        <v>40</v>
      </c>
      <c r="C233" s="3" t="s">
        <v>71</v>
      </c>
      <c r="D233" s="12">
        <f>('Data Used - 1'!F150+'Data Used - 1'!G150+'Data Used - 1'!H150)/'Data Used - 1'!I150</f>
        <v>7.7291421856639245E-2</v>
      </c>
      <c r="E233" s="12">
        <f>'Data Used - 1'!K150/'Data Used - 1'!J150</f>
        <v>2.2909507445589921E-3</v>
      </c>
      <c r="F233" s="10">
        <f>D233+E233</f>
        <v>7.9582372601198242E-2</v>
      </c>
    </row>
    <row r="234" spans="1:6" x14ac:dyDescent="0.3">
      <c r="A234" s="16" t="s">
        <v>446</v>
      </c>
      <c r="B234" s="3" t="s">
        <v>14</v>
      </c>
      <c r="C234" s="3" t="s">
        <v>16</v>
      </c>
      <c r="D234" s="12">
        <f>('Data Used - 1'!F231+'Data Used - 1'!G231+'Data Used - 1'!H231)/'Data Used - 1'!I231</f>
        <v>7.7512577512577507E-2</v>
      </c>
      <c r="E234" s="12">
        <f>'Data Used - 1'!K231/'Data Used - 1'!J231</f>
        <v>1.6611624181778631E-3</v>
      </c>
      <c r="F234" s="10">
        <f>D234+E234</f>
        <v>7.9173739930755369E-2</v>
      </c>
    </row>
    <row r="235" spans="1:6" x14ac:dyDescent="0.3">
      <c r="A235" s="16" t="s">
        <v>137</v>
      </c>
      <c r="B235" s="3" t="s">
        <v>25</v>
      </c>
      <c r="C235" s="3" t="s">
        <v>71</v>
      </c>
      <c r="D235" s="12">
        <f>('Data Used - 1'!F46+'Data Used - 1'!G46+'Data Used - 1'!H46)/'Data Used - 1'!I46</f>
        <v>7.5229902106199939E-2</v>
      </c>
      <c r="E235" s="12">
        <f>'Data Used - 1'!K46/'Data Used - 1'!J46</f>
        <v>3.5330014453187732E-3</v>
      </c>
      <c r="F235" s="10">
        <f>D235+E235</f>
        <v>7.8762903551518715E-2</v>
      </c>
    </row>
    <row r="236" spans="1:6" x14ac:dyDescent="0.3">
      <c r="A236" s="16" t="s">
        <v>86</v>
      </c>
      <c r="B236" s="3" t="s">
        <v>14</v>
      </c>
      <c r="C236" s="3" t="s">
        <v>16</v>
      </c>
      <c r="D236" s="12">
        <f>('Data Used - 1'!F22+'Data Used - 1'!G22+'Data Used - 1'!H22)/'Data Used - 1'!I22</f>
        <v>7.7249552156538517E-2</v>
      </c>
      <c r="E236" s="12">
        <f>'Data Used - 1'!K22/'Data Used - 1'!J22</f>
        <v>1.1464721807834686E-3</v>
      </c>
      <c r="F236" s="10">
        <f>D236+E236</f>
        <v>7.8396024337321984E-2</v>
      </c>
    </row>
    <row r="237" spans="1:6" x14ac:dyDescent="0.3">
      <c r="A237" s="16" t="s">
        <v>350</v>
      </c>
      <c r="B237" s="3" t="s">
        <v>14</v>
      </c>
      <c r="C237" s="3" t="s">
        <v>21</v>
      </c>
      <c r="D237" s="12">
        <f>('Data Used - 1'!F169+'Data Used - 1'!G169+'Data Used - 1'!H169)/'Data Used - 1'!I169</f>
        <v>7.412002573292896E-2</v>
      </c>
      <c r="E237" s="12">
        <f>'Data Used - 1'!K169/'Data Used - 1'!J169</f>
        <v>4.2580071590669821E-3</v>
      </c>
      <c r="F237" s="10">
        <f>D237+E237</f>
        <v>7.8378032891995936E-2</v>
      </c>
    </row>
    <row r="238" spans="1:6" x14ac:dyDescent="0.3">
      <c r="A238" s="16" t="s">
        <v>204</v>
      </c>
      <c r="B238" s="3" t="s">
        <v>14</v>
      </c>
      <c r="C238" s="3" t="s">
        <v>33</v>
      </c>
      <c r="D238" s="12">
        <f>('Data Used - 1'!F81+'Data Used - 1'!G81+'Data Used - 1'!H81)/'Data Used - 1'!I81</f>
        <v>7.7533348349475686E-2</v>
      </c>
      <c r="E238" s="12">
        <f>'Data Used - 1'!K81/'Data Used - 1'!J81</f>
        <v>7.0947144377438804E-4</v>
      </c>
      <c r="F238" s="10">
        <f>D238+E238</f>
        <v>7.8242819793250068E-2</v>
      </c>
    </row>
    <row r="239" spans="1:6" x14ac:dyDescent="0.3">
      <c r="A239" s="16" t="s">
        <v>114</v>
      </c>
      <c r="B239" s="3" t="s">
        <v>14</v>
      </c>
      <c r="C239" s="3" t="s">
        <v>21</v>
      </c>
      <c r="D239" s="12">
        <f>('Data Used - 1'!F35+'Data Used - 1'!G35+'Data Used - 1'!H35)/'Data Used - 1'!I35</f>
        <v>7.055421038471886E-2</v>
      </c>
      <c r="E239" s="12">
        <f>'Data Used - 1'!K35/'Data Used - 1'!J35</f>
        <v>7.4728024747141219E-3</v>
      </c>
      <c r="F239" s="10">
        <f>D239+E239</f>
        <v>7.8027012859432976E-2</v>
      </c>
    </row>
    <row r="240" spans="1:6" x14ac:dyDescent="0.3">
      <c r="A240" s="16" t="s">
        <v>19</v>
      </c>
      <c r="B240" s="3" t="s">
        <v>31</v>
      </c>
      <c r="C240" s="3" t="s">
        <v>21</v>
      </c>
      <c r="D240" s="12">
        <f>('Data Used - 1'!F3+'Data Used - 1'!G3+'Data Used - 1'!H3)/'Data Used - 1'!I3</f>
        <v>7.6097681302417369E-2</v>
      </c>
      <c r="E240" s="12">
        <f>'Data Used - 1'!K3/'Data Used - 1'!J3</f>
        <v>1.8172498951586598E-3</v>
      </c>
      <c r="F240" s="10">
        <f>D240+E240</f>
        <v>7.7914931197576032E-2</v>
      </c>
    </row>
    <row r="241" spans="1:6" x14ac:dyDescent="0.3">
      <c r="A241" s="16" t="s">
        <v>451</v>
      </c>
      <c r="B241" s="3" t="s">
        <v>14</v>
      </c>
      <c r="C241" s="3" t="s">
        <v>21</v>
      </c>
      <c r="D241" s="12">
        <f>('Data Used - 1'!F235+'Data Used - 1'!G235+'Data Used - 1'!H235)/'Data Used - 1'!I235</f>
        <v>7.5968222442899705E-2</v>
      </c>
      <c r="E241" s="12">
        <f>'Data Used - 1'!K235/'Data Used - 1'!J235</f>
        <v>1.7707323242969772E-3</v>
      </c>
      <c r="F241" s="10">
        <f>D241+E241</f>
        <v>7.773895476719668E-2</v>
      </c>
    </row>
    <row r="242" spans="1:6" x14ac:dyDescent="0.3">
      <c r="A242" s="16" t="s">
        <v>358</v>
      </c>
      <c r="B242" s="3" t="s">
        <v>25</v>
      </c>
      <c r="C242" s="3" t="s">
        <v>42</v>
      </c>
      <c r="D242" s="12">
        <f>('Data Used - 1'!F173+'Data Used - 1'!G173+'Data Used - 1'!H173)/'Data Used - 1'!I173</f>
        <v>7.2739802071170159E-2</v>
      </c>
      <c r="E242" s="12">
        <f>'Data Used - 1'!K173/'Data Used - 1'!J173</f>
        <v>4.7669799438038946E-3</v>
      </c>
      <c r="F242" s="10">
        <f>D242+E242</f>
        <v>7.750678201497406E-2</v>
      </c>
    </row>
    <row r="243" spans="1:6" x14ac:dyDescent="0.3">
      <c r="A243" s="16" t="s">
        <v>73</v>
      </c>
      <c r="B243" s="3" t="s">
        <v>40</v>
      </c>
      <c r="C243" s="3" t="s">
        <v>21</v>
      </c>
      <c r="D243" s="12">
        <f>('Data Used - 1'!F17+'Data Used - 1'!G17+'Data Used - 1'!H17)/'Data Used - 1'!I17</f>
        <v>7.5843713789107758E-2</v>
      </c>
      <c r="E243" s="12">
        <f>'Data Used - 1'!K17/'Data Used - 1'!J17</f>
        <v>1.5796640944167044E-3</v>
      </c>
      <c r="F243" s="10">
        <f>D243+E243</f>
        <v>7.7423377883524463E-2</v>
      </c>
    </row>
    <row r="244" spans="1:6" x14ac:dyDescent="0.3">
      <c r="A244" s="16" t="s">
        <v>118</v>
      </c>
      <c r="B244" s="3" t="s">
        <v>40</v>
      </c>
      <c r="C244" s="3" t="s">
        <v>33</v>
      </c>
      <c r="D244" s="12">
        <f>('Data Used - 1'!F37+'Data Used - 1'!G37+'Data Used - 1'!H37)/'Data Used - 1'!I37</f>
        <v>7.6523535487678915E-2</v>
      </c>
      <c r="E244" s="12">
        <f>'Data Used - 1'!K37/'Data Used - 1'!J37</f>
        <v>4.584374676505819E-4</v>
      </c>
      <c r="F244" s="10">
        <f>D244+E244</f>
        <v>7.6981972955329492E-2</v>
      </c>
    </row>
    <row r="245" spans="1:6" x14ac:dyDescent="0.3">
      <c r="A245" s="16" t="s">
        <v>475</v>
      </c>
      <c r="B245" s="3" t="s">
        <v>40</v>
      </c>
      <c r="C245" s="3" t="s">
        <v>16</v>
      </c>
      <c r="D245" s="12">
        <f>('Data Used - 1'!F251+'Data Used - 1'!G251+'Data Used - 1'!H251)/'Data Used - 1'!I251</f>
        <v>7.3170731707317069E-2</v>
      </c>
      <c r="E245" s="12">
        <f>'Data Used - 1'!K251/'Data Used - 1'!J251</f>
        <v>3.6648755986450183E-3</v>
      </c>
      <c r="F245" s="10">
        <f>D245+E245</f>
        <v>7.6835607305962089E-2</v>
      </c>
    </row>
    <row r="246" spans="1:6" x14ac:dyDescent="0.3">
      <c r="A246" s="16" t="s">
        <v>144</v>
      </c>
      <c r="B246" s="3" t="s">
        <v>14</v>
      </c>
      <c r="C246" s="3" t="s">
        <v>33</v>
      </c>
      <c r="D246" s="12">
        <f>('Data Used - 1'!F49+'Data Used - 1'!G49+'Data Used - 1'!H49)/'Data Used - 1'!I49</f>
        <v>7.349527665317139E-2</v>
      </c>
      <c r="E246" s="12">
        <f>'Data Used - 1'!K49/'Data Used - 1'!J49</f>
        <v>3.2807675341861493E-3</v>
      </c>
      <c r="F246" s="10">
        <f>D246+E246</f>
        <v>7.6776044187357534E-2</v>
      </c>
    </row>
    <row r="247" spans="1:6" x14ac:dyDescent="0.3">
      <c r="A247" s="16" t="s">
        <v>534</v>
      </c>
      <c r="B247" s="3" t="s">
        <v>40</v>
      </c>
      <c r="C247" s="3" t="s">
        <v>42</v>
      </c>
      <c r="D247" s="12">
        <f>('Data Used - 1'!F290+'Data Used - 1'!G290+'Data Used - 1'!H290)/'Data Used - 1'!I290</f>
        <v>7.3018902217375503E-2</v>
      </c>
      <c r="E247" s="12">
        <f>'Data Used - 1'!K290/'Data Used - 1'!J290</f>
        <v>2.971323275365657E-3</v>
      </c>
      <c r="F247" s="10">
        <f>D247+E247</f>
        <v>7.5990225492741162E-2</v>
      </c>
    </row>
    <row r="248" spans="1:6" x14ac:dyDescent="0.3">
      <c r="A248" s="16" t="s">
        <v>385</v>
      </c>
      <c r="B248" s="3" t="s">
        <v>31</v>
      </c>
      <c r="C248" s="3" t="s">
        <v>16</v>
      </c>
      <c r="D248" s="12">
        <f>('Data Used - 1'!F190+'Data Used - 1'!G190+'Data Used - 1'!H190)/'Data Used - 1'!I190</f>
        <v>7.2503306878306875E-2</v>
      </c>
      <c r="E248" s="12">
        <f>'Data Used - 1'!K190/'Data Used - 1'!J190</f>
        <v>3.2209360845495724E-3</v>
      </c>
      <c r="F248" s="10">
        <f>D248+E248</f>
        <v>7.5724242962856445E-2</v>
      </c>
    </row>
    <row r="249" spans="1:6" x14ac:dyDescent="0.3">
      <c r="A249" s="16" t="s">
        <v>224</v>
      </c>
      <c r="B249" s="3" t="s">
        <v>25</v>
      </c>
      <c r="C249" s="3" t="s">
        <v>49</v>
      </c>
      <c r="D249" s="12">
        <f>('Data Used - 1'!F91+'Data Used - 1'!G91+'Data Used - 1'!H91)/'Data Used - 1'!I91</f>
        <v>7.0822181933293038E-2</v>
      </c>
      <c r="E249" s="12">
        <f>'Data Used - 1'!K91/'Data Used - 1'!J91</f>
        <v>4.3157940625136232E-3</v>
      </c>
      <c r="F249" s="10">
        <f>D249+E249</f>
        <v>7.5137975995806655E-2</v>
      </c>
    </row>
    <row r="250" spans="1:6" x14ac:dyDescent="0.3">
      <c r="A250" s="16" t="s">
        <v>262</v>
      </c>
      <c r="B250" s="3" t="s">
        <v>25</v>
      </c>
      <c r="C250" s="3" t="s">
        <v>49</v>
      </c>
      <c r="D250" s="12">
        <f>('Data Used - 1'!F112+'Data Used - 1'!G112+'Data Used - 1'!H112)/'Data Used - 1'!I112</f>
        <v>7.4071349760941527E-2</v>
      </c>
      <c r="E250" s="12">
        <f>'Data Used - 1'!K112/'Data Used - 1'!J112</f>
        <v>9.9302400635535365E-4</v>
      </c>
      <c r="F250" s="10">
        <f>D250+E250</f>
        <v>7.5064373767296882E-2</v>
      </c>
    </row>
    <row r="251" spans="1:6" x14ac:dyDescent="0.3">
      <c r="A251" s="16" t="s">
        <v>239</v>
      </c>
      <c r="B251" s="3" t="s">
        <v>14</v>
      </c>
      <c r="C251" s="3" t="s">
        <v>42</v>
      </c>
      <c r="D251" s="12">
        <f>('Data Used - 1'!F100+'Data Used - 1'!G100+'Data Used - 1'!H100)/'Data Used - 1'!I100</f>
        <v>7.2000119875329657E-2</v>
      </c>
      <c r="E251" s="12">
        <f>'Data Used - 1'!K100/'Data Used - 1'!J100</f>
        <v>2.5962721733649489E-3</v>
      </c>
      <c r="F251" s="10">
        <f>D251+E251</f>
        <v>7.4596392048694601E-2</v>
      </c>
    </row>
    <row r="252" spans="1:6" x14ac:dyDescent="0.3">
      <c r="A252" s="16" t="s">
        <v>92</v>
      </c>
      <c r="B252" s="3" t="s">
        <v>31</v>
      </c>
      <c r="C252" s="3" t="s">
        <v>71</v>
      </c>
      <c r="D252" s="12">
        <f>('Data Used - 1'!F25+'Data Used - 1'!G25+'Data Used - 1'!H25)/'Data Used - 1'!I25</f>
        <v>7.2070332803659209E-2</v>
      </c>
      <c r="E252" s="12">
        <f>'Data Used - 1'!K25/'Data Used - 1'!J25</f>
        <v>2.4168730766343915E-3</v>
      </c>
      <c r="F252" s="10">
        <f>D252+E252</f>
        <v>7.4487205880293603E-2</v>
      </c>
    </row>
    <row r="253" spans="1:6" x14ac:dyDescent="0.3">
      <c r="A253" s="16" t="s">
        <v>54</v>
      </c>
      <c r="B253" s="3" t="s">
        <v>40</v>
      </c>
      <c r="C253" s="3" t="s">
        <v>49</v>
      </c>
      <c r="D253" s="12">
        <f>('Data Used - 1'!F11+'Data Used - 1'!G11+'Data Used - 1'!H11)/'Data Used - 1'!I11</f>
        <v>7.198635172059864E-2</v>
      </c>
      <c r="E253" s="12">
        <f>'Data Used - 1'!K11/'Data Used - 1'!J11</f>
        <v>2.3324673873571888E-3</v>
      </c>
      <c r="F253" s="10">
        <f>D253+E253</f>
        <v>7.4318819107955833E-2</v>
      </c>
    </row>
    <row r="254" spans="1:6" x14ac:dyDescent="0.3">
      <c r="A254" s="16" t="s">
        <v>44</v>
      </c>
      <c r="B254" s="3" t="s">
        <v>14</v>
      </c>
      <c r="C254" s="3" t="s">
        <v>42</v>
      </c>
      <c r="D254" s="12">
        <f>('Data Used - 1'!F8+'Data Used - 1'!G8+'Data Used - 1'!H8)/'Data Used - 1'!I8</f>
        <v>7.0272020725388601E-2</v>
      </c>
      <c r="E254" s="12">
        <f>'Data Used - 1'!K8/'Data Used - 1'!J8</f>
        <v>3.8112228349010705E-3</v>
      </c>
      <c r="F254" s="10">
        <f>D254+E254</f>
        <v>7.4083243560289669E-2</v>
      </c>
    </row>
    <row r="255" spans="1:6" x14ac:dyDescent="0.3">
      <c r="A255" s="16" t="s">
        <v>243</v>
      </c>
      <c r="B255" s="3" t="s">
        <v>31</v>
      </c>
      <c r="C255" s="3" t="s">
        <v>71</v>
      </c>
      <c r="D255" s="12">
        <f>('Data Used - 1'!F102+'Data Used - 1'!G102+'Data Used - 1'!H102)/'Data Used - 1'!I102</f>
        <v>7.3707865168539333E-2</v>
      </c>
      <c r="E255" s="12">
        <f>'Data Used - 1'!K102/'Data Used - 1'!J102</f>
        <v>1.5998293515358361E-4</v>
      </c>
      <c r="F255" s="10">
        <f>D255+E255</f>
        <v>7.3867848103692915E-2</v>
      </c>
    </row>
    <row r="256" spans="1:6" x14ac:dyDescent="0.3">
      <c r="A256" s="16" t="s">
        <v>124</v>
      </c>
      <c r="B256" s="3" t="s">
        <v>14</v>
      </c>
      <c r="C256" s="3" t="s">
        <v>49</v>
      </c>
      <c r="D256" s="12">
        <f>('Data Used - 1'!F40+'Data Used - 1'!G40+'Data Used - 1'!H40)/'Data Used - 1'!I40</f>
        <v>7.2126493695121141E-2</v>
      </c>
      <c r="E256" s="12">
        <f>'Data Used - 1'!K40/'Data Used - 1'!J40</f>
        <v>1.5429251848994583E-3</v>
      </c>
      <c r="F256" s="10">
        <f>D256+E256</f>
        <v>7.3669418880020598E-2</v>
      </c>
    </row>
    <row r="257" spans="1:6" x14ac:dyDescent="0.3">
      <c r="A257" s="16" t="s">
        <v>425</v>
      </c>
      <c r="B257" s="3" t="s">
        <v>40</v>
      </c>
      <c r="C257" s="3" t="s">
        <v>49</v>
      </c>
      <c r="D257" s="12">
        <f>('Data Used - 1'!F216+'Data Used - 1'!G216+'Data Used - 1'!H216)/'Data Used - 1'!I216</f>
        <v>7.2116777745580993E-2</v>
      </c>
      <c r="E257" s="12">
        <f>'Data Used - 1'!K216/'Data Used - 1'!J216</f>
        <v>1.078225894382322E-3</v>
      </c>
      <c r="F257" s="10">
        <f>D257+E257</f>
        <v>7.3195003639963313E-2</v>
      </c>
    </row>
    <row r="258" spans="1:6" x14ac:dyDescent="0.3">
      <c r="A258" s="16" t="s">
        <v>456</v>
      </c>
      <c r="B258" s="3" t="s">
        <v>40</v>
      </c>
      <c r="C258" s="3" t="s">
        <v>21</v>
      </c>
      <c r="D258" s="12">
        <f>('Data Used - 1'!F239+'Data Used - 1'!G239+'Data Used - 1'!H239)/'Data Used - 1'!I239</f>
        <v>7.2579365079365077E-2</v>
      </c>
      <c r="E258" s="12">
        <f>'Data Used - 1'!K239/'Data Used - 1'!J239</f>
        <v>5.7389192147023105E-4</v>
      </c>
      <c r="F258" s="10">
        <f>D258+E258</f>
        <v>7.3153257000835303E-2</v>
      </c>
    </row>
    <row r="259" spans="1:6" x14ac:dyDescent="0.3">
      <c r="A259" s="16" t="s">
        <v>98</v>
      </c>
      <c r="B259" s="3" t="s">
        <v>25</v>
      </c>
      <c r="C259" s="3" t="s">
        <v>21</v>
      </c>
      <c r="D259" s="12">
        <f>('Data Used - 1'!F28+'Data Used - 1'!G28+'Data Used - 1'!H28)/'Data Used - 1'!I28</f>
        <v>7.1501685934489398E-2</v>
      </c>
      <c r="E259" s="12">
        <f>'Data Used - 1'!K28/'Data Used - 1'!J28</f>
        <v>1.5816896166728693E-3</v>
      </c>
      <c r="F259" s="10">
        <f>D259+E259</f>
        <v>7.3083375551162261E-2</v>
      </c>
    </row>
    <row r="260" spans="1:6" x14ac:dyDescent="0.3">
      <c r="A260" s="16" t="s">
        <v>297</v>
      </c>
      <c r="B260" s="3" t="s">
        <v>40</v>
      </c>
      <c r="C260" s="3" t="s">
        <v>16</v>
      </c>
      <c r="D260" s="12">
        <f>('Data Used - 1'!F135+'Data Used - 1'!G135+'Data Used - 1'!H135)/'Data Used - 1'!I135</f>
        <v>7.1133744304476013E-2</v>
      </c>
      <c r="E260" s="12">
        <f>'Data Used - 1'!K135/'Data Used - 1'!J135</f>
        <v>1.8579984125838805E-3</v>
      </c>
      <c r="F260" s="10">
        <f>D260+E260</f>
        <v>7.2991742717059896E-2</v>
      </c>
    </row>
    <row r="261" spans="1:6" x14ac:dyDescent="0.3">
      <c r="A261" s="16" t="s">
        <v>537</v>
      </c>
      <c r="B261" s="3" t="s">
        <v>14</v>
      </c>
      <c r="C261" s="3" t="s">
        <v>71</v>
      </c>
      <c r="D261" s="12">
        <f>('Data Used - 1'!F292+'Data Used - 1'!G292+'Data Used - 1'!H292)/'Data Used - 1'!I292</f>
        <v>7.1956537279290869E-2</v>
      </c>
      <c r="E261" s="12">
        <f>'Data Used - 1'!K292/'Data Used - 1'!J292</f>
        <v>5.0290246565894592E-4</v>
      </c>
      <c r="F261" s="10">
        <f>D261+E261</f>
        <v>7.2459439744949811E-2</v>
      </c>
    </row>
    <row r="262" spans="1:6" x14ac:dyDescent="0.3">
      <c r="A262" s="16" t="s">
        <v>295</v>
      </c>
      <c r="B262" s="3" t="s">
        <v>31</v>
      </c>
      <c r="C262" s="3" t="s">
        <v>49</v>
      </c>
      <c r="D262" s="12">
        <f>('Data Used - 1'!F134+'Data Used - 1'!G134+'Data Used - 1'!H134)/'Data Used - 1'!I134</f>
        <v>7.172350922350923E-2</v>
      </c>
      <c r="E262" s="12">
        <f>'Data Used - 1'!K134/'Data Used - 1'!J134</f>
        <v>6.8555132037184305E-4</v>
      </c>
      <c r="F262" s="10">
        <f>D262+E262</f>
        <v>7.2409060543881076E-2</v>
      </c>
    </row>
    <row r="263" spans="1:6" x14ac:dyDescent="0.3">
      <c r="A263" s="16" t="s">
        <v>311</v>
      </c>
      <c r="B263" s="3" t="s">
        <v>14</v>
      </c>
      <c r="C263" s="3" t="s">
        <v>33</v>
      </c>
      <c r="D263" s="12">
        <f>('Data Used - 1'!F143+'Data Used - 1'!G143+'Data Used - 1'!H143)/'Data Used - 1'!I143</f>
        <v>6.9438087973557078E-2</v>
      </c>
      <c r="E263" s="12">
        <f>'Data Used - 1'!K143/'Data Used - 1'!J143</f>
        <v>2.9513034923757992E-3</v>
      </c>
      <c r="F263" s="10">
        <f>D263+E263</f>
        <v>7.2389391465932873E-2</v>
      </c>
    </row>
    <row r="264" spans="1:6" x14ac:dyDescent="0.3">
      <c r="A264" s="16" t="s">
        <v>288</v>
      </c>
      <c r="B264" s="3" t="s">
        <v>25</v>
      </c>
      <c r="C264" s="3" t="s">
        <v>16</v>
      </c>
      <c r="D264" s="12">
        <f>('Data Used - 1'!F128+'Data Used - 1'!G128+'Data Used - 1'!H128)/'Data Used - 1'!I128</f>
        <v>6.9311459413307311E-2</v>
      </c>
      <c r="E264" s="12">
        <f>'Data Used - 1'!K128/'Data Used - 1'!J128</f>
        <v>2.4289381850604928E-3</v>
      </c>
      <c r="F264" s="10">
        <f>D264+E264</f>
        <v>7.1740397598367797E-2</v>
      </c>
    </row>
    <row r="265" spans="1:6" x14ac:dyDescent="0.3">
      <c r="A265" s="16" t="s">
        <v>506</v>
      </c>
      <c r="B265" s="3" t="s">
        <v>25</v>
      </c>
      <c r="C265" s="3" t="s">
        <v>16</v>
      </c>
      <c r="D265" s="12">
        <f>('Data Used - 1'!F271+'Data Used - 1'!G271+'Data Used - 1'!H271)/'Data Used - 1'!I271</f>
        <v>6.7103868574456813E-2</v>
      </c>
      <c r="E265" s="12">
        <f>'Data Used - 1'!K271/'Data Used - 1'!J271</f>
        <v>4.0511010253824172E-3</v>
      </c>
      <c r="F265" s="10">
        <f>D265+E265</f>
        <v>7.1154969599839232E-2</v>
      </c>
    </row>
    <row r="266" spans="1:6" x14ac:dyDescent="0.3">
      <c r="A266" s="16" t="s">
        <v>532</v>
      </c>
      <c r="B266" s="3" t="s">
        <v>14</v>
      </c>
      <c r="C266" s="3" t="s">
        <v>42</v>
      </c>
      <c r="D266" s="12">
        <f>('Data Used - 1'!F289+'Data Used - 1'!G289+'Data Used - 1'!H289)/'Data Used - 1'!I289</f>
        <v>6.800325430032543E-2</v>
      </c>
      <c r="E266" s="12">
        <f>'Data Used - 1'!K289/'Data Used - 1'!J289</f>
        <v>3.0556430262528721E-3</v>
      </c>
      <c r="F266" s="10">
        <f>D266+E266</f>
        <v>7.1058897326578302E-2</v>
      </c>
    </row>
    <row r="267" spans="1:6" x14ac:dyDescent="0.3">
      <c r="A267" s="16" t="s">
        <v>232</v>
      </c>
      <c r="B267" s="3" t="s">
        <v>31</v>
      </c>
      <c r="C267" s="3" t="s">
        <v>21</v>
      </c>
      <c r="D267" s="12">
        <f>('Data Used - 1'!F96+'Data Used - 1'!G96+'Data Used - 1'!H96)/'Data Used - 1'!I96</f>
        <v>6.8108806480899509E-2</v>
      </c>
      <c r="E267" s="12">
        <f>'Data Used - 1'!K96/'Data Used - 1'!J96</f>
        <v>2.8651784144840919E-3</v>
      </c>
      <c r="F267" s="10">
        <f>D267+E267</f>
        <v>7.0973984895383604E-2</v>
      </c>
    </row>
    <row r="268" spans="1:6" x14ac:dyDescent="0.3">
      <c r="A268" s="16" t="s">
        <v>216</v>
      </c>
      <c r="B268" s="3" t="s">
        <v>40</v>
      </c>
      <c r="C268" s="3" t="s">
        <v>21</v>
      </c>
      <c r="D268" s="12">
        <f>('Data Used - 1'!F87+'Data Used - 1'!G87+'Data Used - 1'!H87)/'Data Used - 1'!I87</f>
        <v>6.5515821264328367E-2</v>
      </c>
      <c r="E268" s="12">
        <f>'Data Used - 1'!K87/'Data Used - 1'!J87</f>
        <v>4.1686763591263004E-3</v>
      </c>
      <c r="F268" s="10">
        <f>D268+E268</f>
        <v>6.9684497623454661E-2</v>
      </c>
    </row>
    <row r="269" spans="1:6" x14ac:dyDescent="0.3">
      <c r="A269" s="16" t="s">
        <v>354</v>
      </c>
      <c r="B269" s="3" t="s">
        <v>14</v>
      </c>
      <c r="C269" s="3" t="s">
        <v>21</v>
      </c>
      <c r="D269" s="12">
        <f>('Data Used - 1'!F171+'Data Used - 1'!G171+'Data Used - 1'!H171)/'Data Used - 1'!I171</f>
        <v>6.8655003457763777E-2</v>
      </c>
      <c r="E269" s="12">
        <f>'Data Used - 1'!K171/'Data Used - 1'!J171</f>
        <v>7.8126151623697287E-4</v>
      </c>
      <c r="F269" s="10">
        <f>D269+E269</f>
        <v>6.9436264974000753E-2</v>
      </c>
    </row>
    <row r="270" spans="1:6" x14ac:dyDescent="0.3">
      <c r="A270" s="16" t="s">
        <v>37</v>
      </c>
      <c r="B270" s="3" t="s">
        <v>31</v>
      </c>
      <c r="C270" s="3" t="s">
        <v>16</v>
      </c>
      <c r="D270" s="12">
        <f>('Data Used - 1'!F6+'Data Used - 1'!G6+'Data Used - 1'!H6)/'Data Used - 1'!I6</f>
        <v>6.5617093055946027E-2</v>
      </c>
      <c r="E270" s="12">
        <f>'Data Used - 1'!K6/'Data Used - 1'!J6</f>
        <v>3.1682720187833271E-3</v>
      </c>
      <c r="F270" s="10">
        <f>D270+E270</f>
        <v>6.8785365074729349E-2</v>
      </c>
    </row>
    <row r="271" spans="1:6" x14ac:dyDescent="0.3">
      <c r="A271" s="16" t="s">
        <v>455</v>
      </c>
      <c r="B271" s="3" t="s">
        <v>40</v>
      </c>
      <c r="C271" s="3" t="s">
        <v>33</v>
      </c>
      <c r="D271" s="12">
        <f>('Data Used - 1'!F238+'Data Used - 1'!G238+'Data Used - 1'!H238)/'Data Used - 1'!I238</f>
        <v>6.7234398994834563E-2</v>
      </c>
      <c r="E271" s="12">
        <f>'Data Used - 1'!K238/'Data Used - 1'!J238</f>
        <v>1.0655898600712263E-3</v>
      </c>
      <c r="F271" s="10">
        <f>D271+E271</f>
        <v>6.8299988854905791E-2</v>
      </c>
    </row>
    <row r="272" spans="1:6" x14ac:dyDescent="0.3">
      <c r="A272" s="16" t="s">
        <v>299</v>
      </c>
      <c r="B272" s="3" t="s">
        <v>25</v>
      </c>
      <c r="C272" s="3" t="s">
        <v>21</v>
      </c>
      <c r="D272" s="12">
        <f>('Data Used - 1'!F136+'Data Used - 1'!G136+'Data Used - 1'!H136)/'Data Used - 1'!I136</f>
        <v>6.461481657304112E-2</v>
      </c>
      <c r="E272" s="12">
        <f>'Data Used - 1'!K136/'Data Used - 1'!J136</f>
        <v>3.6056577011280935E-3</v>
      </c>
      <c r="F272" s="10">
        <f>D272+E272</f>
        <v>6.8220474274169218E-2</v>
      </c>
    </row>
    <row r="273" spans="1:6" x14ac:dyDescent="0.3">
      <c r="A273" s="16" t="s">
        <v>270</v>
      </c>
      <c r="B273" s="3" t="s">
        <v>14</v>
      </c>
      <c r="C273" s="3" t="s">
        <v>49</v>
      </c>
      <c r="D273" s="12">
        <f>('Data Used - 1'!F116+'Data Used - 1'!G116+'Data Used - 1'!H116)/'Data Used - 1'!I116</f>
        <v>6.2150491965739366E-2</v>
      </c>
      <c r="E273" s="12">
        <f>'Data Used - 1'!K116/'Data Used - 1'!J116</f>
        <v>5.76313972041628E-3</v>
      </c>
      <c r="F273" s="10">
        <f>D273+E273</f>
        <v>6.7913631686155648E-2</v>
      </c>
    </row>
    <row r="274" spans="1:6" x14ac:dyDescent="0.3">
      <c r="A274" s="16" t="s">
        <v>321</v>
      </c>
      <c r="B274" s="3" t="s">
        <v>14</v>
      </c>
      <c r="C274" s="3" t="s">
        <v>42</v>
      </c>
      <c r="D274" s="12">
        <f>('Data Used - 1'!F151+'Data Used - 1'!G151+'Data Used - 1'!H151)/'Data Used - 1'!I151</f>
        <v>6.3713620488940623E-2</v>
      </c>
      <c r="E274" s="12">
        <f>'Data Used - 1'!K151/'Data Used - 1'!J151</f>
        <v>3.3804261668298596E-3</v>
      </c>
      <c r="F274" s="10">
        <f>D274+E274</f>
        <v>6.7094046655770484E-2</v>
      </c>
    </row>
    <row r="275" spans="1:6" x14ac:dyDescent="0.3">
      <c r="A275" s="16" t="s">
        <v>435</v>
      </c>
      <c r="B275" s="3" t="s">
        <v>40</v>
      </c>
      <c r="C275" s="3" t="s">
        <v>49</v>
      </c>
      <c r="D275" s="12">
        <f>('Data Used - 1'!F224+'Data Used - 1'!G224+'Data Used - 1'!H224)/'Data Used - 1'!I224</f>
        <v>6.2129685107516146E-2</v>
      </c>
      <c r="E275" s="12">
        <f>'Data Used - 1'!K224/'Data Used - 1'!J224</f>
        <v>4.211089201564119E-3</v>
      </c>
      <c r="F275" s="10">
        <f>D275+E275</f>
        <v>6.6340774309080267E-2</v>
      </c>
    </row>
    <row r="276" spans="1:6" x14ac:dyDescent="0.3">
      <c r="A276" s="16" t="s">
        <v>313</v>
      </c>
      <c r="B276" s="3" t="s">
        <v>14</v>
      </c>
      <c r="C276" s="3" t="s">
        <v>33</v>
      </c>
      <c r="D276" s="12">
        <f>('Data Used - 1'!F145+'Data Used - 1'!G145+'Data Used - 1'!H145)/'Data Used - 1'!I145</f>
        <v>6.5455787978772245E-2</v>
      </c>
      <c r="E276" s="12">
        <f>'Data Used - 1'!K145/'Data Used - 1'!J145</f>
        <v>7.1113026613511474E-4</v>
      </c>
      <c r="F276" s="10">
        <f>D276+E276</f>
        <v>6.6166918244907363E-2</v>
      </c>
    </row>
    <row r="277" spans="1:6" x14ac:dyDescent="0.3">
      <c r="A277" s="16" t="s">
        <v>402</v>
      </c>
      <c r="B277" s="3" t="s">
        <v>31</v>
      </c>
      <c r="C277" s="3" t="s">
        <v>16</v>
      </c>
      <c r="D277" s="12">
        <f>('Data Used - 1'!F201+'Data Used - 1'!G201+'Data Used - 1'!H201)/'Data Used - 1'!I201</f>
        <v>6.246991874522239E-2</v>
      </c>
      <c r="E277" s="12">
        <f>'Data Used - 1'!K201/'Data Used - 1'!J201</f>
        <v>3.3405496853001477E-3</v>
      </c>
      <c r="F277" s="10">
        <f>D277+E277</f>
        <v>6.5810468430522531E-2</v>
      </c>
    </row>
    <row r="278" spans="1:6" x14ac:dyDescent="0.3">
      <c r="A278" s="16" t="s">
        <v>521</v>
      </c>
      <c r="B278" s="3" t="s">
        <v>40</v>
      </c>
      <c r="C278" s="3" t="s">
        <v>49</v>
      </c>
      <c r="D278" s="12">
        <f>('Data Used - 1'!F282+'Data Used - 1'!G282+'Data Used - 1'!H282)/'Data Used - 1'!I282</f>
        <v>6.3118551273952411E-2</v>
      </c>
      <c r="E278" s="12">
        <f>'Data Used - 1'!K282/'Data Used - 1'!J282</f>
        <v>2.4053452115812917E-3</v>
      </c>
      <c r="F278" s="10">
        <f>D278+E278</f>
        <v>6.5523896485533709E-2</v>
      </c>
    </row>
    <row r="279" spans="1:6" x14ac:dyDescent="0.3">
      <c r="A279" s="16" t="s">
        <v>192</v>
      </c>
      <c r="B279" s="3" t="s">
        <v>14</v>
      </c>
      <c r="C279" s="3" t="s">
        <v>33</v>
      </c>
      <c r="D279" s="12">
        <f>('Data Used - 1'!F74+'Data Used - 1'!G74+'Data Used - 1'!H74)/'Data Used - 1'!I74</f>
        <v>6.4265122330790625E-2</v>
      </c>
      <c r="E279" s="12">
        <f>'Data Used - 1'!K74/'Data Used - 1'!J74</f>
        <v>1.1311344764646906E-3</v>
      </c>
      <c r="F279" s="10">
        <f>D279+E279</f>
        <v>6.5396256807255318E-2</v>
      </c>
    </row>
    <row r="280" spans="1:6" x14ac:dyDescent="0.3">
      <c r="A280" s="16" t="s">
        <v>398</v>
      </c>
      <c r="B280" s="3" t="s">
        <v>40</v>
      </c>
      <c r="C280" s="3" t="s">
        <v>16</v>
      </c>
      <c r="D280" s="12">
        <f>('Data Used - 1'!F198+'Data Used - 1'!G198+'Data Used - 1'!H198)/'Data Used - 1'!I198</f>
        <v>6.4884520656164318E-2</v>
      </c>
      <c r="E280" s="12">
        <f>'Data Used - 1'!K198/'Data Used - 1'!J198</f>
        <v>2.2264146521520055E-4</v>
      </c>
      <c r="F280" s="10">
        <f>D280+E280</f>
        <v>6.5107162121379514E-2</v>
      </c>
    </row>
    <row r="281" spans="1:6" x14ac:dyDescent="0.3">
      <c r="A281" s="16" t="s">
        <v>181</v>
      </c>
      <c r="B281" s="3" t="s">
        <v>14</v>
      </c>
      <c r="C281" s="3" t="s">
        <v>42</v>
      </c>
      <c r="D281" s="12">
        <f>('Data Used - 1'!F68+'Data Used - 1'!G68+'Data Used - 1'!H68)/'Data Used - 1'!I68</f>
        <v>6.3749764195434822E-2</v>
      </c>
      <c r="E281" s="12">
        <f>'Data Used - 1'!K68/'Data Used - 1'!J68</f>
        <v>1.1807630090564522E-3</v>
      </c>
      <c r="F281" s="10">
        <f>D281+E281</f>
        <v>6.4930527204491273E-2</v>
      </c>
    </row>
    <row r="282" spans="1:6" x14ac:dyDescent="0.3">
      <c r="A282" s="16" t="s">
        <v>501</v>
      </c>
      <c r="B282" s="3" t="s">
        <v>31</v>
      </c>
      <c r="C282" s="3" t="s">
        <v>16</v>
      </c>
      <c r="D282" s="12">
        <f>('Data Used - 1'!F268+'Data Used - 1'!G268+'Data Used - 1'!H268)/'Data Used - 1'!I268</f>
        <v>6.3947934081681396E-2</v>
      </c>
      <c r="E282" s="12">
        <f>'Data Used - 1'!K268/'Data Used - 1'!J268</f>
        <v>9.3073528087188882E-4</v>
      </c>
      <c r="F282" s="10">
        <f>D282+E282</f>
        <v>6.4878669362553279E-2</v>
      </c>
    </row>
    <row r="283" spans="1:6" x14ac:dyDescent="0.3">
      <c r="A283" s="16" t="s">
        <v>254</v>
      </c>
      <c r="B283" s="3" t="s">
        <v>14</v>
      </c>
      <c r="C283" s="3" t="s">
        <v>49</v>
      </c>
      <c r="D283" s="12">
        <f>('Data Used - 1'!F108+'Data Used - 1'!G108+'Data Used - 1'!H108)/'Data Used - 1'!I108</f>
        <v>6.2467323109097243E-2</v>
      </c>
      <c r="E283" s="12">
        <f>'Data Used - 1'!K108/'Data Used - 1'!J108</f>
        <v>1.9935155976165439E-3</v>
      </c>
      <c r="F283" s="10">
        <f>D283+E283</f>
        <v>6.4460838706713791E-2</v>
      </c>
    </row>
    <row r="284" spans="1:6" x14ac:dyDescent="0.3">
      <c r="A284" s="16" t="s">
        <v>83</v>
      </c>
      <c r="B284" s="3" t="s">
        <v>31</v>
      </c>
      <c r="C284" s="3" t="s">
        <v>42</v>
      </c>
      <c r="D284" s="12">
        <f>('Data Used - 1'!F21+'Data Used - 1'!G21+'Data Used - 1'!H21)/'Data Used - 1'!I21</f>
        <v>6.3809622724794221E-2</v>
      </c>
      <c r="E284" s="12">
        <f>'Data Used - 1'!K21/'Data Used - 1'!J21</f>
        <v>3.2517787229614597E-4</v>
      </c>
      <c r="F284" s="10">
        <f>D284+E284</f>
        <v>6.4134800597090369E-2</v>
      </c>
    </row>
    <row r="285" spans="1:6" x14ac:dyDescent="0.3">
      <c r="A285" s="16" t="s">
        <v>484</v>
      </c>
      <c r="B285" s="3" t="s">
        <v>40</v>
      </c>
      <c r="C285" s="3" t="s">
        <v>42</v>
      </c>
      <c r="D285" s="12">
        <f>('Data Used - 1'!F257+'Data Used - 1'!G257+'Data Used - 1'!H257)/'Data Used - 1'!I257</f>
        <v>5.7936488444630008E-2</v>
      </c>
      <c r="E285" s="12">
        <f>'Data Used - 1'!K257/'Data Used - 1'!J257</f>
        <v>6.1806853582554513E-3</v>
      </c>
      <c r="F285" s="10">
        <f>D285+E285</f>
        <v>6.4117173802885452E-2</v>
      </c>
    </row>
    <row r="286" spans="1:6" x14ac:dyDescent="0.3">
      <c r="A286" s="16" t="s">
        <v>94</v>
      </c>
      <c r="B286" s="3" t="s">
        <v>31</v>
      </c>
      <c r="C286" s="3" t="s">
        <v>42</v>
      </c>
      <c r="D286" s="12">
        <f>('Data Used - 1'!F26+'Data Used - 1'!G26+'Data Used - 1'!H26)/'Data Used - 1'!I26</f>
        <v>5.9496567505720827E-2</v>
      </c>
      <c r="E286" s="12">
        <f>'Data Used - 1'!K26/'Data Used - 1'!J26</f>
        <v>4.0214930215268152E-3</v>
      </c>
      <c r="F286" s="10">
        <f>D286+E286</f>
        <v>6.3518060527247636E-2</v>
      </c>
    </row>
    <row r="287" spans="1:6" x14ac:dyDescent="0.3">
      <c r="A287" s="16" t="s">
        <v>428</v>
      </c>
      <c r="B287" s="3" t="s">
        <v>40</v>
      </c>
      <c r="C287" s="3" t="s">
        <v>49</v>
      </c>
      <c r="D287" s="12">
        <f>('Data Used - 1'!F218+'Data Used - 1'!G218+'Data Used - 1'!H218)/'Data Used - 1'!I218</f>
        <v>6.2603126356925748E-2</v>
      </c>
      <c r="E287" s="12">
        <f>'Data Used - 1'!K218/'Data Used - 1'!J218</f>
        <v>6.1242344706911639E-4</v>
      </c>
      <c r="F287" s="10">
        <f>D287+E287</f>
        <v>6.3215549803994867E-2</v>
      </c>
    </row>
    <row r="288" spans="1:6" x14ac:dyDescent="0.3">
      <c r="A288" s="16" t="s">
        <v>545</v>
      </c>
      <c r="B288" s="3" t="s">
        <v>31</v>
      </c>
      <c r="C288" s="3" t="s">
        <v>71</v>
      </c>
      <c r="D288" s="12">
        <f>('Data Used - 1'!F297+'Data Used - 1'!G297+'Data Used - 1'!H297)/'Data Used - 1'!I297</f>
        <v>5.9387824897400819E-2</v>
      </c>
      <c r="E288" s="12">
        <f>'Data Used - 1'!K297/'Data Used - 1'!J297</f>
        <v>3.6115983902590032E-3</v>
      </c>
      <c r="F288" s="10">
        <f>D288+E288</f>
        <v>6.2999423287659825E-2</v>
      </c>
    </row>
    <row r="289" spans="1:6" x14ac:dyDescent="0.3">
      <c r="A289" s="16" t="s">
        <v>519</v>
      </c>
      <c r="B289" s="3" t="s">
        <v>25</v>
      </c>
      <c r="C289" s="3" t="s">
        <v>49</v>
      </c>
      <c r="D289" s="12">
        <f>('Data Used - 1'!F280+'Data Used - 1'!G280+'Data Used - 1'!H280)/'Data Used - 1'!I280</f>
        <v>5.9928644240570844E-2</v>
      </c>
      <c r="E289" s="12">
        <f>'Data Used - 1'!K280/'Data Used - 1'!J280</f>
        <v>2.8535777114102197E-3</v>
      </c>
      <c r="F289" s="10">
        <f>D289+E289</f>
        <v>6.2782221951981063E-2</v>
      </c>
    </row>
    <row r="290" spans="1:6" x14ac:dyDescent="0.3">
      <c r="A290" s="16" t="s">
        <v>427</v>
      </c>
      <c r="B290" s="3" t="s">
        <v>14</v>
      </c>
      <c r="C290" s="3" t="s">
        <v>33</v>
      </c>
      <c r="D290" s="12">
        <f>('Data Used - 1'!F217+'Data Used - 1'!G217+'Data Used - 1'!H217)/'Data Used - 1'!I217</f>
        <v>5.8316766070245198E-2</v>
      </c>
      <c r="E290" s="12">
        <f>'Data Used - 1'!K217/'Data Used - 1'!J217</f>
        <v>4.0082185321162721E-3</v>
      </c>
      <c r="F290" s="10">
        <f>D290+E290</f>
        <v>6.2324984602361466E-2</v>
      </c>
    </row>
    <row r="291" spans="1:6" x14ac:dyDescent="0.3">
      <c r="A291" s="16" t="s">
        <v>408</v>
      </c>
      <c r="B291" s="3" t="s">
        <v>25</v>
      </c>
      <c r="C291" s="3" t="s">
        <v>42</v>
      </c>
      <c r="D291" s="12">
        <f>('Data Used - 1'!F204+'Data Used - 1'!G204+'Data Used - 1'!H204)/'Data Used - 1'!I204</f>
        <v>5.7332570758993957E-2</v>
      </c>
      <c r="E291" s="12">
        <f>'Data Used - 1'!K204/'Data Used - 1'!J204</f>
        <v>4.0029672344535109E-3</v>
      </c>
      <c r="F291" s="10">
        <f>D291+E291</f>
        <v>6.1335537993447466E-2</v>
      </c>
    </row>
    <row r="292" spans="1:6" x14ac:dyDescent="0.3">
      <c r="A292" s="16" t="s">
        <v>525</v>
      </c>
      <c r="B292" s="3" t="s">
        <v>14</v>
      </c>
      <c r="C292" s="3" t="s">
        <v>16</v>
      </c>
      <c r="D292" s="12">
        <f>('Data Used - 1'!F284+'Data Used - 1'!G284+'Data Used - 1'!H284)/'Data Used - 1'!I284</f>
        <v>5.8243321401216137E-2</v>
      </c>
      <c r="E292" s="12">
        <f>'Data Used - 1'!K284/'Data Used - 1'!J284</f>
        <v>2.4612393986423991E-3</v>
      </c>
      <c r="F292" s="10">
        <f>D292+E292</f>
        <v>6.0704560799858538E-2</v>
      </c>
    </row>
    <row r="293" spans="1:6" x14ac:dyDescent="0.3">
      <c r="A293" s="16" t="s">
        <v>314</v>
      </c>
      <c r="B293" s="3" t="s">
        <v>14</v>
      </c>
      <c r="C293" s="3" t="s">
        <v>42</v>
      </c>
      <c r="D293" s="12">
        <f>('Data Used - 1'!F146+'Data Used - 1'!G146+'Data Used - 1'!H146)/'Data Used - 1'!I146</f>
        <v>5.6416400425985093E-2</v>
      </c>
      <c r="E293" s="12">
        <f>'Data Used - 1'!K146/'Data Used - 1'!J146</f>
        <v>3.8509518902207517E-3</v>
      </c>
      <c r="F293" s="10">
        <f>D293+E293</f>
        <v>6.0267352316205842E-2</v>
      </c>
    </row>
    <row r="294" spans="1:6" x14ac:dyDescent="0.3">
      <c r="A294" s="16" t="s">
        <v>69</v>
      </c>
      <c r="B294" s="3" t="s">
        <v>31</v>
      </c>
      <c r="C294" s="3" t="s">
        <v>71</v>
      </c>
      <c r="D294" s="12">
        <f>('Data Used - 1'!F16+'Data Used - 1'!G16+'Data Used - 1'!H16)/'Data Used - 1'!I16</f>
        <v>5.941358024691358E-2</v>
      </c>
      <c r="E294" s="12">
        <f>'Data Used - 1'!K16/'Data Used - 1'!J16</f>
        <v>2.5917814609872095E-4</v>
      </c>
      <c r="F294" s="10">
        <f>D294+E294</f>
        <v>5.9672758393012303E-2</v>
      </c>
    </row>
    <row r="295" spans="1:6" x14ac:dyDescent="0.3">
      <c r="A295" s="16" t="s">
        <v>386</v>
      </c>
      <c r="B295" s="3" t="s">
        <v>25</v>
      </c>
      <c r="C295" s="3" t="s">
        <v>21</v>
      </c>
      <c r="D295" s="12">
        <f>('Data Used - 1'!F191+'Data Used - 1'!G191+'Data Used - 1'!H191)/'Data Used - 1'!I191</f>
        <v>5.5909322465613857E-2</v>
      </c>
      <c r="E295" s="12">
        <f>'Data Used - 1'!K191/'Data Used - 1'!J191</f>
        <v>3.7399086946429032E-3</v>
      </c>
      <c r="F295" s="10">
        <f>D295+E295</f>
        <v>5.9649231160256763E-2</v>
      </c>
    </row>
    <row r="296" spans="1:6" x14ac:dyDescent="0.3">
      <c r="A296" s="16" t="s">
        <v>24</v>
      </c>
      <c r="B296" s="3" t="s">
        <v>14</v>
      </c>
      <c r="C296" s="3" t="s">
        <v>16</v>
      </c>
      <c r="D296" s="12">
        <f>('Data Used - 1'!F4+'Data Used - 1'!G4+'Data Used - 1'!H4)/'Data Used - 1'!I4</f>
        <v>5.5531494209584788E-2</v>
      </c>
      <c r="E296" s="12">
        <f>'Data Used - 1'!K4/'Data Used - 1'!J4</f>
        <v>3.9000516183302428E-3</v>
      </c>
      <c r="F296" s="10">
        <f>D296+E296</f>
        <v>5.943154582791503E-2</v>
      </c>
    </row>
    <row r="297" spans="1:6" x14ac:dyDescent="0.3">
      <c r="A297" s="16" t="s">
        <v>105</v>
      </c>
      <c r="B297" s="3" t="s">
        <v>31</v>
      </c>
      <c r="C297" s="3" t="s">
        <v>71</v>
      </c>
      <c r="D297" s="12">
        <f>('Data Used - 1'!F31+'Data Used - 1'!G31+'Data Used - 1'!H31)/'Data Used - 1'!I31</f>
        <v>5.7655717106444085E-2</v>
      </c>
      <c r="E297" s="12">
        <f>'Data Used - 1'!K31/'Data Used - 1'!J31</f>
        <v>1.6968325791855204E-3</v>
      </c>
      <c r="F297" s="10">
        <f>D297+E297</f>
        <v>5.9352549685629606E-2</v>
      </c>
    </row>
    <row r="298" spans="1:6" x14ac:dyDescent="0.3">
      <c r="A298" s="16" t="s">
        <v>549</v>
      </c>
      <c r="B298" s="3" t="s">
        <v>25</v>
      </c>
      <c r="C298" s="3" t="s">
        <v>49</v>
      </c>
      <c r="D298" s="12">
        <f>('Data Used - 1'!F299+'Data Used - 1'!G299+'Data Used - 1'!H299)/'Data Used - 1'!I299</f>
        <v>5.8563792702765516E-2</v>
      </c>
      <c r="E298" s="12">
        <f>'Data Used - 1'!K299/'Data Used - 1'!J299</f>
        <v>1.6312643463873322E-4</v>
      </c>
      <c r="F298" s="10">
        <f>D298+E298</f>
        <v>5.872691913740425E-2</v>
      </c>
    </row>
    <row r="299" spans="1:6" x14ac:dyDescent="0.3">
      <c r="A299" s="16" t="s">
        <v>438</v>
      </c>
      <c r="B299" s="3" t="s">
        <v>40</v>
      </c>
      <c r="C299" s="3" t="s">
        <v>42</v>
      </c>
      <c r="D299" s="12">
        <f>('Data Used - 1'!F226+'Data Used - 1'!G226+'Data Used - 1'!H226)/'Data Used - 1'!I226</f>
        <v>5.6653298485940883E-2</v>
      </c>
      <c r="E299" s="12">
        <f>'Data Used - 1'!K226/'Data Used - 1'!J226</f>
        <v>1.3434586089510776E-3</v>
      </c>
      <c r="F299" s="10">
        <f>D299+E299</f>
        <v>5.7996757094891958E-2</v>
      </c>
    </row>
    <row r="300" spans="1:6" x14ac:dyDescent="0.3">
      <c r="A300" s="16" t="s">
        <v>365</v>
      </c>
      <c r="B300" s="3" t="s">
        <v>40</v>
      </c>
      <c r="C300" s="3" t="s">
        <v>71</v>
      </c>
      <c r="D300" s="12">
        <f>('Data Used - 1'!F177+'Data Used - 1'!G177+'Data Used - 1'!H177)/'Data Used - 1'!I177</f>
        <v>5.4081095313322801E-2</v>
      </c>
      <c r="E300" s="12">
        <f>'Data Used - 1'!K177/'Data Used - 1'!J177</f>
        <v>3.5086330840357195E-3</v>
      </c>
      <c r="F300" s="10">
        <f>D300+E300</f>
        <v>5.7589728397358521E-2</v>
      </c>
    </row>
    <row r="301" spans="1:6" x14ac:dyDescent="0.3">
      <c r="A301" s="16" t="s">
        <v>174</v>
      </c>
      <c r="B301" s="3" t="s">
        <v>40</v>
      </c>
      <c r="C301" s="3" t="s">
        <v>42</v>
      </c>
      <c r="D301" s="12">
        <f>('Data Used - 1'!F64+'Data Used - 1'!G64+'Data Used - 1'!H64)/'Data Used - 1'!I64</f>
        <v>5.2551586421122697E-2</v>
      </c>
      <c r="E301" s="12">
        <f>'Data Used - 1'!K64/'Data Used - 1'!J64</f>
        <v>1.3952294315277205E-3</v>
      </c>
      <c r="F301" s="10">
        <f>D301+E301</f>
        <v>5.3946815852650418E-2</v>
      </c>
    </row>
  </sheetData>
  <sortState xmlns:xlrd2="http://schemas.microsoft.com/office/spreadsheetml/2017/richdata2" ref="A2:F301">
    <sortCondition descending="1" ref="F1:F30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Used - 1</vt:lpstr>
      <vt:lpstr>Performance for Hashtags</vt:lpstr>
      <vt:lpstr>Comparision Performance Content</vt:lpstr>
      <vt:lpstr>Conetnt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 Inamdar</dc:creator>
  <cp:lastModifiedBy>Ved Inamdar</cp:lastModifiedBy>
  <dcterms:created xsi:type="dcterms:W3CDTF">2025-08-17T18:49:29Z</dcterms:created>
  <dcterms:modified xsi:type="dcterms:W3CDTF">2025-08-18T16:13:02Z</dcterms:modified>
</cp:coreProperties>
</file>